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shboard Data" sheetId="2" state="visible" r:id="rId4"/>
    <sheet name="Daily MIS" sheetId="3" state="visible" r:id="rId5"/>
    <sheet name="Weekly MIS" sheetId="4" state="visible" r:id="rId6"/>
    <sheet name="Monthly MIS" sheetId="5" state="visible" r:id="rId7"/>
    <sheet name="Data" sheetId="6" state="visible" r:id="rId8"/>
    <sheet name="About" sheetId="7" state="visible" r:id="rId9"/>
  </sheets>
  <definedNames>
    <definedName function="false" hidden="true" localSheetId="5" name="_xlnm._FilterDatabase" vbProcedure="false">Data!$A$1:$K$1201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<sst xmlns="http://schemas.openxmlformats.org/spreadsheetml/2006/main" count="7341" uniqueCount="1325">
  <si>
    <t xml:space="preserve">E-commerce Order MIS Dashboard</t>
  </si>
  <si>
    <t xml:space="preserve">Q3 2026 (Jul - Sep)  |  Order, delivery and return performance</t>
  </si>
  <si>
    <t xml:space="preserve">TOTAL ORDERS</t>
  </si>
  <si>
    <t xml:space="preserve">GROSS REVENUE (INR)</t>
  </si>
  <si>
    <t xml:space="preserve">AVG ORDER VALUE (INR)</t>
  </si>
  <si>
    <t xml:space="preserve">DELIVERY RATE</t>
  </si>
  <si>
    <t xml:space="preserve">RETURN RATE</t>
  </si>
  <si>
    <t xml:space="preserve">RTO RATE</t>
  </si>
  <si>
    <t xml:space="preserve">Daily Orders</t>
  </si>
  <si>
    <t xml:space="preserve">Revenue by Category (INR)</t>
  </si>
  <si>
    <t xml:space="preserve">Order Status Split</t>
  </si>
  <si>
    <t xml:space="preserve">Delivery % vs RTO % by Payment Mode</t>
  </si>
  <si>
    <t xml:space="preserve">E-commerce Order MIS Dashboard  |  Q3 2026 (Jul - Sep)</t>
  </si>
  <si>
    <t xml:space="preserve">Simulated D2C order data (1,200 orders). Every number below is a live formula on the Data sheet.</t>
  </si>
  <si>
    <t xml:space="preserve">Total Orders</t>
  </si>
  <si>
    <t xml:space="preserve">Gross Revenue (INR)</t>
  </si>
  <si>
    <t xml:space="preserve">Net Delivered Revenue (INR)</t>
  </si>
  <si>
    <t xml:space="preserve">Avg Order Value (INR)</t>
  </si>
  <si>
    <t xml:space="preserve">Avg Delivery Days</t>
  </si>
  <si>
    <t xml:space="preserve">Delivery Rate</t>
  </si>
  <si>
    <t xml:space="preserve">Return Rate</t>
  </si>
  <si>
    <t xml:space="preserve">Cancellation Rate</t>
  </si>
  <si>
    <t xml:space="preserve">RTO Rate</t>
  </si>
  <si>
    <t xml:space="preserve">COD Share</t>
  </si>
  <si>
    <t xml:space="preserve">Category Performance</t>
  </si>
  <si>
    <t xml:space="preserve">Payment Mode Analysis</t>
  </si>
  <si>
    <t xml:space="preserve">Category</t>
  </si>
  <si>
    <t xml:space="preserve">Orders</t>
  </si>
  <si>
    <t xml:space="preserve">Revenue (INR)</t>
  </si>
  <si>
    <t xml:space="preserve">Return %</t>
  </si>
  <si>
    <t xml:space="preserve">Payment Mode</t>
  </si>
  <si>
    <t xml:space="preserve">Delivery %</t>
  </si>
  <si>
    <t xml:space="preserve">RTO %</t>
  </si>
  <si>
    <t xml:space="preserve">Skincare</t>
  </si>
  <si>
    <t xml:space="preserve">Prepaid</t>
  </si>
  <si>
    <t xml:space="preserve">Haircare</t>
  </si>
  <si>
    <t xml:space="preserve">COD</t>
  </si>
  <si>
    <t xml:space="preserve">Bath &amp; Body</t>
  </si>
  <si>
    <t xml:space="preserve">Makeup</t>
  </si>
  <si>
    <t xml:space="preserve">Wellness</t>
  </si>
  <si>
    <t xml:space="preserve">Status</t>
  </si>
  <si>
    <t xml:space="preserve">Share</t>
  </si>
  <si>
    <t xml:space="preserve">Delivered</t>
  </si>
  <si>
    <t xml:space="preserve">Returned</t>
  </si>
  <si>
    <t xml:space="preserve">City-wise Orders</t>
  </si>
  <si>
    <t xml:space="preserve">Cancelled</t>
  </si>
  <si>
    <t xml:space="preserve">City</t>
  </si>
  <si>
    <t xml:space="preserve">RTO</t>
  </si>
  <si>
    <t xml:space="preserve">Delhi</t>
  </si>
  <si>
    <t xml:space="preserve">Mumbai</t>
  </si>
  <si>
    <t xml:space="preserve">Bengaluru</t>
  </si>
  <si>
    <t xml:space="preserve">Hyderabad</t>
  </si>
  <si>
    <t xml:space="preserve">Pune</t>
  </si>
  <si>
    <t xml:space="preserve">Kolkata</t>
  </si>
  <si>
    <t xml:space="preserve">Daily MIS Report</t>
  </si>
  <si>
    <t xml:space="preserve">All figures are formulas on the Data sheet (COUNTIFS / SUMIFS). Revenue = gross order value in INR.</t>
  </si>
  <si>
    <t xml:space="preserve">Date</t>
  </si>
  <si>
    <t xml:space="preserve">COD Orders</t>
  </si>
  <si>
    <t xml:space="preserve">Total</t>
  </si>
  <si>
    <t xml:space="preserve">Weekly MIS Report</t>
  </si>
  <si>
    <t xml:space="preserve">Week</t>
  </si>
  <si>
    <t xml:space="preserve">Week Start</t>
  </si>
  <si>
    <t xml:space="preserve">Week End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</si>
  <si>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</si>
  <si>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</si>
  <si>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</si>
  <si>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</si>
  <si>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</si>
  <si>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</si>
  <si>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</si>
  <si>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</si>
  <si>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</si>
  <si>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</si>
  <si>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</si>
  <si>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</si>
  <si>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</si>
  <si>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</si>
  <si>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Note: data covers 01-Jul-2026 to 30-Sep-2026, so Week 14 is a partial week (2 days).</t>
  </si>
  <si>
    <t xml:space="preserve">Monthly MIS Report</t>
  </si>
  <si>
    <t xml:space="preserve">Month</t>
  </si>
  <si>
    <t xml:space="preserve">Month Start</t>
  </si>
  <si>
    <t xml:space="preserve">Month End</t>
  </si>
  <si>
    <t xml:space="preserve">COD Share %</t>
  </si>
  <si>
    <t xml:space="preserve">July 2026</t>
  </si>
  <si>
    <t xml:space="preserve">August 2026</t>
  </si>
  <si>
    <t xml:space="preserve">September 2026</t>
  </si>
  <si>
    <t xml:space="preserve">Order ID</t>
  </si>
  <si>
    <t xml:space="preserve">Order Date</t>
  </si>
  <si>
    <t xml:space="preserve">Product</t>
  </si>
  <si>
    <t xml:space="preserve">Qty</t>
  </si>
  <si>
    <t xml:space="preserve">Unit Price (INR)</t>
  </si>
  <si>
    <t xml:space="preserve">Order Value (INR)</t>
  </si>
  <si>
    <t xml:space="preserve">Order Status</t>
  </si>
  <si>
    <t xml:space="preserve">Delivery Days</t>
  </si>
  <si>
    <t xml:space="preserve">ORD10001</t>
  </si>
  <si>
    <t xml:space="preserve">Shampoo</t>
  </si>
  <si>
    <t xml:space="preserve">ORD10002</t>
  </si>
  <si>
    <t xml:space="preserve">Hand Cream</t>
  </si>
  <si>
    <t xml:space="preserve">ORD10003</t>
  </si>
  <si>
    <t xml:space="preserve">Essential Oil</t>
  </si>
  <si>
    <t xml:space="preserve">ORD10004</t>
  </si>
  <si>
    <t xml:space="preserve">Jaipur</t>
  </si>
  <si>
    <t xml:space="preserve">Moisturiser</t>
  </si>
  <si>
    <t xml:space="preserve">ORD10005</t>
  </si>
  <si>
    <t xml:space="preserve">ORD10006</t>
  </si>
  <si>
    <t xml:space="preserve">Vitamin Gummies</t>
  </si>
  <si>
    <t xml:space="preserve">ORD10007</t>
  </si>
  <si>
    <t xml:space="preserve">Compact Powder</t>
  </si>
  <si>
    <t xml:space="preserve">ORD10008</t>
  </si>
  <si>
    <t xml:space="preserve">Lucknow</t>
  </si>
  <si>
    <t xml:space="preserve">Lip Balm</t>
  </si>
  <si>
    <t xml:space="preserve">ORD10009</t>
  </si>
  <si>
    <t xml:space="preserve">ORD10010</t>
  </si>
  <si>
    <t xml:space="preserve">ORD10011</t>
  </si>
  <si>
    <t xml:space="preserve">Face Serum</t>
  </si>
  <si>
    <t xml:space="preserve">ORD10012</t>
  </si>
  <si>
    <t xml:space="preserve">ORD10013</t>
  </si>
  <si>
    <t xml:space="preserve">Sunscreen SPF50</t>
  </si>
  <si>
    <t xml:space="preserve">ORD10014</t>
  </si>
  <si>
    <t xml:space="preserve">ORD10015</t>
  </si>
  <si>
    <t xml:space="preserve">ORD10016</t>
  </si>
  <si>
    <t xml:space="preserve">Kajal</t>
  </si>
  <si>
    <t xml:space="preserve">ORD10017</t>
  </si>
  <si>
    <t xml:space="preserve">ORD10018</t>
  </si>
  <si>
    <t xml:space="preserve">ORD10019</t>
  </si>
  <si>
    <t xml:space="preserve">Hair Mask</t>
  </si>
  <si>
    <t xml:space="preserve">ORD10020</t>
  </si>
  <si>
    <t xml:space="preserve">ORD10021</t>
  </si>
  <si>
    <t xml:space="preserve">ORD10022</t>
  </si>
  <si>
    <t xml:space="preserve">Herbal Tea</t>
  </si>
  <si>
    <t xml:space="preserve">ORD10023</t>
  </si>
  <si>
    <t xml:space="preserve">Body Lotion</t>
  </si>
  <si>
    <t xml:space="preserve">ORD10024</t>
  </si>
  <si>
    <t xml:space="preserve">ORD10025</t>
  </si>
  <si>
    <t xml:space="preserve">ORD10026</t>
  </si>
  <si>
    <t xml:space="preserve">ORD10027</t>
  </si>
  <si>
    <t xml:space="preserve">Face Wash</t>
  </si>
  <si>
    <t xml:space="preserve">ORD10028</t>
  </si>
  <si>
    <t xml:space="preserve">ORD10029</t>
  </si>
  <si>
    <t xml:space="preserve">ORD10030</t>
  </si>
  <si>
    <t xml:space="preserve">ORD10031</t>
  </si>
  <si>
    <t xml:space="preserve">Body Wash</t>
  </si>
  <si>
    <t xml:space="preserve">ORD10032</t>
  </si>
  <si>
    <t xml:space="preserve">ORD10033</t>
  </si>
  <si>
    <t xml:space="preserve">ORD10034</t>
  </si>
  <si>
    <t xml:space="preserve">ORD10035</t>
  </si>
  <si>
    <t xml:space="preserve">ORD10036</t>
  </si>
  <si>
    <t xml:space="preserve">ORD10037</t>
  </si>
  <si>
    <t xml:space="preserve">ORD10038</t>
  </si>
  <si>
    <t xml:space="preserve">ORD10039</t>
  </si>
  <si>
    <t xml:space="preserve">ORD10040</t>
  </si>
  <si>
    <t xml:space="preserve">ORD10041</t>
  </si>
  <si>
    <t xml:space="preserve">ORD10042</t>
  </si>
  <si>
    <t xml:space="preserve">ORD10043</t>
  </si>
  <si>
    <t xml:space="preserve">ORD10044</t>
  </si>
  <si>
    <t xml:space="preserve">ORD10045</t>
  </si>
  <si>
    <t xml:space="preserve">ORD10046</t>
  </si>
  <si>
    <t xml:space="preserve">ORD10047</t>
  </si>
  <si>
    <t xml:space="preserve">ORD10048</t>
  </si>
  <si>
    <t xml:space="preserve">Hair Oil</t>
  </si>
  <si>
    <t xml:space="preserve">ORD10049</t>
  </si>
  <si>
    <t xml:space="preserve">ORD10050</t>
  </si>
  <si>
    <t xml:space="preserve">ORD10051</t>
  </si>
  <si>
    <t xml:space="preserve">ORD10052</t>
  </si>
  <si>
    <t xml:space="preserve">ORD10053</t>
  </si>
  <si>
    <t xml:space="preserve">ORD10054</t>
  </si>
  <si>
    <t xml:space="preserve">ORD10055</t>
  </si>
  <si>
    <t xml:space="preserve">ORD10056</t>
  </si>
  <si>
    <t xml:space="preserve">ORD10057</t>
  </si>
  <si>
    <t xml:space="preserve">ORD10058</t>
  </si>
  <si>
    <t xml:space="preserve">ORD10059</t>
  </si>
  <si>
    <t xml:space="preserve">ORD10060</t>
  </si>
  <si>
    <t xml:space="preserve">ORD10061</t>
  </si>
  <si>
    <t xml:space="preserve">ORD10062</t>
  </si>
  <si>
    <t xml:space="preserve">ORD10063</t>
  </si>
  <si>
    <t xml:space="preserve">ORD10064</t>
  </si>
  <si>
    <t xml:space="preserve">ORD10065</t>
  </si>
  <si>
    <t xml:space="preserve">ORD10066</t>
  </si>
  <si>
    <t xml:space="preserve">ORD10067</t>
  </si>
  <si>
    <t xml:space="preserve">ORD10068</t>
  </si>
  <si>
    <t xml:space="preserve">ORD10069</t>
  </si>
  <si>
    <t xml:space="preserve">ORD10070</t>
  </si>
  <si>
    <t xml:space="preserve">ORD10071</t>
  </si>
  <si>
    <t xml:space="preserve">ORD10072</t>
  </si>
  <si>
    <t xml:space="preserve">ORD10073</t>
  </si>
  <si>
    <t xml:space="preserve">ORD10074</t>
  </si>
  <si>
    <t xml:space="preserve">ORD10075</t>
  </si>
  <si>
    <t xml:space="preserve">ORD10076</t>
  </si>
  <si>
    <t xml:space="preserve">ORD10077</t>
  </si>
  <si>
    <t xml:space="preserve">ORD10078</t>
  </si>
  <si>
    <t xml:space="preserve">ORD10079</t>
  </si>
  <si>
    <t xml:space="preserve">ORD10080</t>
  </si>
  <si>
    <t xml:space="preserve">ORD10081</t>
  </si>
  <si>
    <t xml:space="preserve">ORD10082</t>
  </si>
  <si>
    <t xml:space="preserve">ORD10083</t>
  </si>
  <si>
    <t xml:space="preserve">ORD10084</t>
  </si>
  <si>
    <t xml:space="preserve">ORD10085</t>
  </si>
  <si>
    <t xml:space="preserve">ORD10086</t>
  </si>
  <si>
    <t xml:space="preserve">ORD10087</t>
  </si>
  <si>
    <t xml:space="preserve">ORD10088</t>
  </si>
  <si>
    <t xml:space="preserve">ORD10089</t>
  </si>
  <si>
    <t xml:space="preserve">ORD10090</t>
  </si>
  <si>
    <t xml:space="preserve">ORD10091</t>
  </si>
  <si>
    <t xml:space="preserve">ORD10092</t>
  </si>
  <si>
    <t xml:space="preserve">ORD10093</t>
  </si>
  <si>
    <t xml:space="preserve">ORD10094</t>
  </si>
  <si>
    <t xml:space="preserve">ORD10095</t>
  </si>
  <si>
    <t xml:space="preserve">ORD10096</t>
  </si>
  <si>
    <t xml:space="preserve">ORD10097</t>
  </si>
  <si>
    <t xml:space="preserve">ORD10098</t>
  </si>
  <si>
    <t xml:space="preserve">ORD10099</t>
  </si>
  <si>
    <t xml:space="preserve">ORD10100</t>
  </si>
  <si>
    <t xml:space="preserve">ORD10101</t>
  </si>
  <si>
    <t xml:space="preserve">ORD10102</t>
  </si>
  <si>
    <t xml:space="preserve">ORD10103</t>
  </si>
  <si>
    <t xml:space="preserve">ORD10104</t>
  </si>
  <si>
    <t xml:space="preserve">ORD10105</t>
  </si>
  <si>
    <t xml:space="preserve">ORD10106</t>
  </si>
  <si>
    <t xml:space="preserve">ORD10107</t>
  </si>
  <si>
    <t xml:space="preserve">ORD10108</t>
  </si>
  <si>
    <t xml:space="preserve">ORD10109</t>
  </si>
  <si>
    <t xml:space="preserve">ORD10110</t>
  </si>
  <si>
    <t xml:space="preserve">ORD10111</t>
  </si>
  <si>
    <t xml:space="preserve">ORD10112</t>
  </si>
  <si>
    <t xml:space="preserve">ORD10113</t>
  </si>
  <si>
    <t xml:space="preserve">ORD10114</t>
  </si>
  <si>
    <t xml:space="preserve">ORD10115</t>
  </si>
  <si>
    <t xml:space="preserve">ORD10116</t>
  </si>
  <si>
    <t xml:space="preserve">ORD10117</t>
  </si>
  <si>
    <t xml:space="preserve">ORD10118</t>
  </si>
  <si>
    <t xml:space="preserve">ORD10119</t>
  </si>
  <si>
    <t xml:space="preserve">ORD10120</t>
  </si>
  <si>
    <t xml:space="preserve">ORD10121</t>
  </si>
  <si>
    <t xml:space="preserve">ORD10122</t>
  </si>
  <si>
    <t xml:space="preserve">ORD10123</t>
  </si>
  <si>
    <t xml:space="preserve">ORD10124</t>
  </si>
  <si>
    <t xml:space="preserve">ORD10125</t>
  </si>
  <si>
    <t xml:space="preserve">ORD10126</t>
  </si>
  <si>
    <t xml:space="preserve">ORD10127</t>
  </si>
  <si>
    <t xml:space="preserve">ORD10128</t>
  </si>
  <si>
    <t xml:space="preserve">ORD10129</t>
  </si>
  <si>
    <t xml:space="preserve">ORD10130</t>
  </si>
  <si>
    <t xml:space="preserve">ORD10131</t>
  </si>
  <si>
    <t xml:space="preserve">ORD10132</t>
  </si>
  <si>
    <t xml:space="preserve">ORD10133</t>
  </si>
  <si>
    <t xml:space="preserve">ORD10134</t>
  </si>
  <si>
    <t xml:space="preserve">ORD10135</t>
  </si>
  <si>
    <t xml:space="preserve">ORD10136</t>
  </si>
  <si>
    <t xml:space="preserve">ORD10137</t>
  </si>
  <si>
    <t xml:space="preserve">ORD10138</t>
  </si>
  <si>
    <t xml:space="preserve">ORD10139</t>
  </si>
  <si>
    <t xml:space="preserve">ORD10140</t>
  </si>
  <si>
    <t xml:space="preserve">ORD10141</t>
  </si>
  <si>
    <t xml:space="preserve">ORD10142</t>
  </si>
  <si>
    <t xml:space="preserve">ORD10143</t>
  </si>
  <si>
    <t xml:space="preserve">ORD10144</t>
  </si>
  <si>
    <t xml:space="preserve">ORD10145</t>
  </si>
  <si>
    <t xml:space="preserve">ORD10146</t>
  </si>
  <si>
    <t xml:space="preserve">ORD10147</t>
  </si>
  <si>
    <t xml:space="preserve">ORD10148</t>
  </si>
  <si>
    <t xml:space="preserve">ORD10149</t>
  </si>
  <si>
    <t xml:space="preserve">ORD10150</t>
  </si>
  <si>
    <t xml:space="preserve">ORD10151</t>
  </si>
  <si>
    <t xml:space="preserve">ORD10152</t>
  </si>
  <si>
    <t xml:space="preserve">ORD10153</t>
  </si>
  <si>
    <t xml:space="preserve">ORD10154</t>
  </si>
  <si>
    <t xml:space="preserve">ORD10155</t>
  </si>
  <si>
    <t xml:space="preserve">ORD10156</t>
  </si>
  <si>
    <t xml:space="preserve">ORD10157</t>
  </si>
  <si>
    <t xml:space="preserve">ORD10158</t>
  </si>
  <si>
    <t xml:space="preserve">ORD10159</t>
  </si>
  <si>
    <t xml:space="preserve">ORD10160</t>
  </si>
  <si>
    <t xml:space="preserve">ORD10161</t>
  </si>
  <si>
    <t xml:space="preserve">ORD10162</t>
  </si>
  <si>
    <t xml:space="preserve">ORD10163</t>
  </si>
  <si>
    <t xml:space="preserve">ORD10164</t>
  </si>
  <si>
    <t xml:space="preserve">ORD10165</t>
  </si>
  <si>
    <t xml:space="preserve">ORD10166</t>
  </si>
  <si>
    <t xml:space="preserve">ORD10167</t>
  </si>
  <si>
    <t xml:space="preserve">ORD10168</t>
  </si>
  <si>
    <t xml:space="preserve">ORD10169</t>
  </si>
  <si>
    <t xml:space="preserve">ORD10170</t>
  </si>
  <si>
    <t xml:space="preserve">ORD10171</t>
  </si>
  <si>
    <t xml:space="preserve">ORD10172</t>
  </si>
  <si>
    <t xml:space="preserve">ORD10173</t>
  </si>
  <si>
    <t xml:space="preserve">ORD10174</t>
  </si>
  <si>
    <t xml:space="preserve">ORD10175</t>
  </si>
  <si>
    <t xml:space="preserve">ORD10176</t>
  </si>
  <si>
    <t xml:space="preserve">ORD10177</t>
  </si>
  <si>
    <t xml:space="preserve">ORD10178</t>
  </si>
  <si>
    <t xml:space="preserve">ORD10179</t>
  </si>
  <si>
    <t xml:space="preserve">ORD10180</t>
  </si>
  <si>
    <t xml:space="preserve">ORD10181</t>
  </si>
  <si>
    <t xml:space="preserve">ORD10182</t>
  </si>
  <si>
    <t xml:space="preserve">ORD10183</t>
  </si>
  <si>
    <t xml:space="preserve">ORD10184</t>
  </si>
  <si>
    <t xml:space="preserve">ORD10185</t>
  </si>
  <si>
    <t xml:space="preserve">ORD10186</t>
  </si>
  <si>
    <t xml:space="preserve">ORD10187</t>
  </si>
  <si>
    <t xml:space="preserve">ORD10188</t>
  </si>
  <si>
    <t xml:space="preserve">ORD10189</t>
  </si>
  <si>
    <t xml:space="preserve">ORD10190</t>
  </si>
  <si>
    <t xml:space="preserve">ORD10191</t>
  </si>
  <si>
    <t xml:space="preserve">ORD10192</t>
  </si>
  <si>
    <t xml:space="preserve">ORD10193</t>
  </si>
  <si>
    <t xml:space="preserve">ORD10194</t>
  </si>
  <si>
    <t xml:space="preserve">ORD10195</t>
  </si>
  <si>
    <t xml:space="preserve">ORD10196</t>
  </si>
  <si>
    <t xml:space="preserve">ORD10197</t>
  </si>
  <si>
    <t xml:space="preserve">ORD10198</t>
  </si>
  <si>
    <t xml:space="preserve">ORD10199</t>
  </si>
  <si>
    <t xml:space="preserve">ORD10200</t>
  </si>
  <si>
    <t xml:space="preserve">ORD10201</t>
  </si>
  <si>
    <t xml:space="preserve">ORD10202</t>
  </si>
  <si>
    <t xml:space="preserve">ORD10203</t>
  </si>
  <si>
    <t xml:space="preserve">ORD10204</t>
  </si>
  <si>
    <t xml:space="preserve">ORD10205</t>
  </si>
  <si>
    <t xml:space="preserve">ORD10206</t>
  </si>
  <si>
    <t xml:space="preserve">ORD10207</t>
  </si>
  <si>
    <t xml:space="preserve">ORD10208</t>
  </si>
  <si>
    <t xml:space="preserve">ORD10209</t>
  </si>
  <si>
    <t xml:space="preserve">ORD10210</t>
  </si>
  <si>
    <t xml:space="preserve">ORD10211</t>
  </si>
  <si>
    <t xml:space="preserve">ORD10212</t>
  </si>
  <si>
    <t xml:space="preserve">ORD10213</t>
  </si>
  <si>
    <t xml:space="preserve">ORD10214</t>
  </si>
  <si>
    <t xml:space="preserve">ORD10215</t>
  </si>
  <si>
    <t xml:space="preserve">ORD10216</t>
  </si>
  <si>
    <t xml:space="preserve">ORD10217</t>
  </si>
  <si>
    <t xml:space="preserve">ORD10218</t>
  </si>
  <si>
    <t xml:space="preserve">ORD10219</t>
  </si>
  <si>
    <t xml:space="preserve">ORD10220</t>
  </si>
  <si>
    <t xml:space="preserve">ORD10221</t>
  </si>
  <si>
    <t xml:space="preserve">ORD10222</t>
  </si>
  <si>
    <t xml:space="preserve">ORD10223</t>
  </si>
  <si>
    <t xml:space="preserve">ORD10224</t>
  </si>
  <si>
    <t xml:space="preserve">ORD10225</t>
  </si>
  <si>
    <t xml:space="preserve">ORD10226</t>
  </si>
  <si>
    <t xml:space="preserve">ORD10227</t>
  </si>
  <si>
    <t xml:space="preserve">ORD10228</t>
  </si>
  <si>
    <t xml:space="preserve">ORD10229</t>
  </si>
  <si>
    <t xml:space="preserve">ORD10230</t>
  </si>
  <si>
    <t xml:space="preserve">ORD10231</t>
  </si>
  <si>
    <t xml:space="preserve">ORD10232</t>
  </si>
  <si>
    <t xml:space="preserve">ORD10233</t>
  </si>
  <si>
    <t xml:space="preserve">ORD10234</t>
  </si>
  <si>
    <t xml:space="preserve">ORD10235</t>
  </si>
  <si>
    <t xml:space="preserve">ORD10236</t>
  </si>
  <si>
    <t xml:space="preserve">ORD10237</t>
  </si>
  <si>
    <t xml:space="preserve">ORD10238</t>
  </si>
  <si>
    <t xml:space="preserve">ORD10239</t>
  </si>
  <si>
    <t xml:space="preserve">ORD10240</t>
  </si>
  <si>
    <t xml:space="preserve">ORD10241</t>
  </si>
  <si>
    <t xml:space="preserve">ORD10242</t>
  </si>
  <si>
    <t xml:space="preserve">ORD10243</t>
  </si>
  <si>
    <t xml:space="preserve">ORD10244</t>
  </si>
  <si>
    <t xml:space="preserve">ORD10245</t>
  </si>
  <si>
    <t xml:space="preserve">ORD10246</t>
  </si>
  <si>
    <t xml:space="preserve">ORD10247</t>
  </si>
  <si>
    <t xml:space="preserve">ORD10248</t>
  </si>
  <si>
    <t xml:space="preserve">ORD10249</t>
  </si>
  <si>
    <t xml:space="preserve">ORD10250</t>
  </si>
  <si>
    <t xml:space="preserve">ORD10251</t>
  </si>
  <si>
    <t xml:space="preserve">ORD10252</t>
  </si>
  <si>
    <t xml:space="preserve">ORD10253</t>
  </si>
  <si>
    <t xml:space="preserve">ORD10254</t>
  </si>
  <si>
    <t xml:space="preserve">ORD10255</t>
  </si>
  <si>
    <t xml:space="preserve">ORD10256</t>
  </si>
  <si>
    <t xml:space="preserve">ORD10257</t>
  </si>
  <si>
    <t xml:space="preserve">ORD10258</t>
  </si>
  <si>
    <t xml:space="preserve">ORD10259</t>
  </si>
  <si>
    <t xml:space="preserve">ORD10260</t>
  </si>
  <si>
    <t xml:space="preserve">ORD10261</t>
  </si>
  <si>
    <t xml:space="preserve">ORD10262</t>
  </si>
  <si>
    <t xml:space="preserve">ORD10263</t>
  </si>
  <si>
    <t xml:space="preserve">ORD10264</t>
  </si>
  <si>
    <t xml:space="preserve">ORD10265</t>
  </si>
  <si>
    <t xml:space="preserve">ORD10266</t>
  </si>
  <si>
    <t xml:space="preserve">ORD10267</t>
  </si>
  <si>
    <t xml:space="preserve">ORD10268</t>
  </si>
  <si>
    <t xml:space="preserve">ORD10269</t>
  </si>
  <si>
    <t xml:space="preserve">ORD10270</t>
  </si>
  <si>
    <t xml:space="preserve">ORD10271</t>
  </si>
  <si>
    <t xml:space="preserve">ORD10272</t>
  </si>
  <si>
    <t xml:space="preserve">ORD10273</t>
  </si>
  <si>
    <t xml:space="preserve">ORD10274</t>
  </si>
  <si>
    <t xml:space="preserve">ORD10275</t>
  </si>
  <si>
    <t xml:space="preserve">ORD10276</t>
  </si>
  <si>
    <t xml:space="preserve">ORD10277</t>
  </si>
  <si>
    <t xml:space="preserve">ORD10278</t>
  </si>
  <si>
    <t xml:space="preserve">ORD10279</t>
  </si>
  <si>
    <t xml:space="preserve">ORD10280</t>
  </si>
  <si>
    <t xml:space="preserve">ORD10281</t>
  </si>
  <si>
    <t xml:space="preserve">ORD10282</t>
  </si>
  <si>
    <t xml:space="preserve">ORD10283</t>
  </si>
  <si>
    <t xml:space="preserve">ORD10284</t>
  </si>
  <si>
    <t xml:space="preserve">ORD10285</t>
  </si>
  <si>
    <t xml:space="preserve">ORD10286</t>
  </si>
  <si>
    <t xml:space="preserve">ORD10287</t>
  </si>
  <si>
    <t xml:space="preserve">ORD10288</t>
  </si>
  <si>
    <t xml:space="preserve">ORD10289</t>
  </si>
  <si>
    <t xml:space="preserve">ORD10290</t>
  </si>
  <si>
    <t xml:space="preserve">ORD10291</t>
  </si>
  <si>
    <t xml:space="preserve">ORD10292</t>
  </si>
  <si>
    <t xml:space="preserve">ORD10293</t>
  </si>
  <si>
    <t xml:space="preserve">ORD10294</t>
  </si>
  <si>
    <t xml:space="preserve">ORD10295</t>
  </si>
  <si>
    <t xml:space="preserve">ORD10296</t>
  </si>
  <si>
    <t xml:space="preserve">ORD10297</t>
  </si>
  <si>
    <t xml:space="preserve">ORD10298</t>
  </si>
  <si>
    <t xml:space="preserve">ORD10299</t>
  </si>
  <si>
    <t xml:space="preserve">ORD10300</t>
  </si>
  <si>
    <t xml:space="preserve">ORD10301</t>
  </si>
  <si>
    <t xml:space="preserve">ORD10302</t>
  </si>
  <si>
    <t xml:space="preserve">ORD10303</t>
  </si>
  <si>
    <t xml:space="preserve">ORD10304</t>
  </si>
  <si>
    <t xml:space="preserve">ORD10305</t>
  </si>
  <si>
    <t xml:space="preserve">ORD10306</t>
  </si>
  <si>
    <t xml:space="preserve">ORD10307</t>
  </si>
  <si>
    <t xml:space="preserve">ORD10308</t>
  </si>
  <si>
    <t xml:space="preserve">ORD10309</t>
  </si>
  <si>
    <t xml:space="preserve">ORD10310</t>
  </si>
  <si>
    <t xml:space="preserve">ORD10311</t>
  </si>
  <si>
    <t xml:space="preserve">ORD10312</t>
  </si>
  <si>
    <t xml:space="preserve">ORD10313</t>
  </si>
  <si>
    <t xml:space="preserve">ORD10314</t>
  </si>
  <si>
    <t xml:space="preserve">ORD10315</t>
  </si>
  <si>
    <t xml:space="preserve">ORD10316</t>
  </si>
  <si>
    <t xml:space="preserve">ORD10317</t>
  </si>
  <si>
    <t xml:space="preserve">ORD10318</t>
  </si>
  <si>
    <t xml:space="preserve">ORD10319</t>
  </si>
  <si>
    <t xml:space="preserve">ORD10320</t>
  </si>
  <si>
    <t xml:space="preserve">ORD10321</t>
  </si>
  <si>
    <t xml:space="preserve">ORD10322</t>
  </si>
  <si>
    <t xml:space="preserve">ORD10323</t>
  </si>
  <si>
    <t xml:space="preserve">ORD10324</t>
  </si>
  <si>
    <t xml:space="preserve">ORD10325</t>
  </si>
  <si>
    <t xml:space="preserve">ORD10326</t>
  </si>
  <si>
    <t xml:space="preserve">ORD10327</t>
  </si>
  <si>
    <t xml:space="preserve">ORD10328</t>
  </si>
  <si>
    <t xml:space="preserve">ORD10329</t>
  </si>
  <si>
    <t xml:space="preserve">ORD10330</t>
  </si>
  <si>
    <t xml:space="preserve">ORD10331</t>
  </si>
  <si>
    <t xml:space="preserve">ORD10332</t>
  </si>
  <si>
    <t xml:space="preserve">ORD10333</t>
  </si>
  <si>
    <t xml:space="preserve">ORD10334</t>
  </si>
  <si>
    <t xml:space="preserve">ORD10335</t>
  </si>
  <si>
    <t xml:space="preserve">ORD10336</t>
  </si>
  <si>
    <t xml:space="preserve">ORD10337</t>
  </si>
  <si>
    <t xml:space="preserve">ORD10338</t>
  </si>
  <si>
    <t xml:space="preserve">ORD10339</t>
  </si>
  <si>
    <t xml:space="preserve">ORD10340</t>
  </si>
  <si>
    <t xml:space="preserve">ORD10341</t>
  </si>
  <si>
    <t xml:space="preserve">ORD10342</t>
  </si>
  <si>
    <t xml:space="preserve">ORD10343</t>
  </si>
  <si>
    <t xml:space="preserve">ORD10344</t>
  </si>
  <si>
    <t xml:space="preserve">ORD10345</t>
  </si>
  <si>
    <t xml:space="preserve">ORD10346</t>
  </si>
  <si>
    <t xml:space="preserve">ORD10347</t>
  </si>
  <si>
    <t xml:space="preserve">ORD10348</t>
  </si>
  <si>
    <t xml:space="preserve">ORD10349</t>
  </si>
  <si>
    <t xml:space="preserve">ORD10350</t>
  </si>
  <si>
    <t xml:space="preserve">ORD10351</t>
  </si>
  <si>
    <t xml:space="preserve">ORD10352</t>
  </si>
  <si>
    <t xml:space="preserve">ORD10353</t>
  </si>
  <si>
    <t xml:space="preserve">ORD10354</t>
  </si>
  <si>
    <t xml:space="preserve">ORD10355</t>
  </si>
  <si>
    <t xml:space="preserve">ORD10356</t>
  </si>
  <si>
    <t xml:space="preserve">ORD10357</t>
  </si>
  <si>
    <t xml:space="preserve">ORD10358</t>
  </si>
  <si>
    <t xml:space="preserve">ORD10359</t>
  </si>
  <si>
    <t xml:space="preserve">ORD10360</t>
  </si>
  <si>
    <t xml:space="preserve">ORD10361</t>
  </si>
  <si>
    <t xml:space="preserve">ORD10362</t>
  </si>
  <si>
    <t xml:space="preserve">ORD10363</t>
  </si>
  <si>
    <t xml:space="preserve">ORD10364</t>
  </si>
  <si>
    <t xml:space="preserve">ORD10365</t>
  </si>
  <si>
    <t xml:space="preserve">ORD10366</t>
  </si>
  <si>
    <t xml:space="preserve">ORD10367</t>
  </si>
  <si>
    <t xml:space="preserve">ORD10368</t>
  </si>
  <si>
    <t xml:space="preserve">ORD10369</t>
  </si>
  <si>
    <t xml:space="preserve">ORD10370</t>
  </si>
  <si>
    <t xml:space="preserve">ORD10371</t>
  </si>
  <si>
    <t xml:space="preserve">ORD10372</t>
  </si>
  <si>
    <t xml:space="preserve">ORD10373</t>
  </si>
  <si>
    <t xml:space="preserve">ORD10374</t>
  </si>
  <si>
    <t xml:space="preserve">ORD10375</t>
  </si>
  <si>
    <t xml:space="preserve">ORD10376</t>
  </si>
  <si>
    <t xml:space="preserve">ORD10377</t>
  </si>
  <si>
    <t xml:space="preserve">ORD10378</t>
  </si>
  <si>
    <t xml:space="preserve">ORD10379</t>
  </si>
  <si>
    <t xml:space="preserve">ORD10380</t>
  </si>
  <si>
    <t xml:space="preserve">ORD10381</t>
  </si>
  <si>
    <t xml:space="preserve">ORD10382</t>
  </si>
  <si>
    <t xml:space="preserve">ORD10383</t>
  </si>
  <si>
    <t xml:space="preserve">ORD10384</t>
  </si>
  <si>
    <t xml:space="preserve">ORD10385</t>
  </si>
  <si>
    <t xml:space="preserve">ORD10386</t>
  </si>
  <si>
    <t xml:space="preserve">ORD10387</t>
  </si>
  <si>
    <t xml:space="preserve">ORD10388</t>
  </si>
  <si>
    <t xml:space="preserve">ORD10389</t>
  </si>
  <si>
    <t xml:space="preserve">ORD10390</t>
  </si>
  <si>
    <t xml:space="preserve">ORD10391</t>
  </si>
  <si>
    <t xml:space="preserve">ORD10392</t>
  </si>
  <si>
    <t xml:space="preserve">ORD10393</t>
  </si>
  <si>
    <t xml:space="preserve">ORD10394</t>
  </si>
  <si>
    <t xml:space="preserve">ORD10395</t>
  </si>
  <si>
    <t xml:space="preserve">ORD10396</t>
  </si>
  <si>
    <t xml:space="preserve">ORD10397</t>
  </si>
  <si>
    <t xml:space="preserve">ORD10398</t>
  </si>
  <si>
    <t xml:space="preserve">ORD10399</t>
  </si>
  <si>
    <t xml:space="preserve">ORD10400</t>
  </si>
  <si>
    <t xml:space="preserve">ORD10401</t>
  </si>
  <si>
    <t xml:space="preserve">ORD10402</t>
  </si>
  <si>
    <t xml:space="preserve">ORD10403</t>
  </si>
  <si>
    <t xml:space="preserve">ORD10404</t>
  </si>
  <si>
    <t xml:space="preserve">ORD10405</t>
  </si>
  <si>
    <t xml:space="preserve">ORD10406</t>
  </si>
  <si>
    <t xml:space="preserve">ORD10407</t>
  </si>
  <si>
    <t xml:space="preserve">ORD10408</t>
  </si>
  <si>
    <t xml:space="preserve">ORD10409</t>
  </si>
  <si>
    <t xml:space="preserve">ORD10410</t>
  </si>
  <si>
    <t xml:space="preserve">ORD10411</t>
  </si>
  <si>
    <t xml:space="preserve">ORD10412</t>
  </si>
  <si>
    <t xml:space="preserve">ORD10413</t>
  </si>
  <si>
    <t xml:space="preserve">ORD10414</t>
  </si>
  <si>
    <t xml:space="preserve">ORD10415</t>
  </si>
  <si>
    <t xml:space="preserve">ORD10416</t>
  </si>
  <si>
    <t xml:space="preserve">ORD10417</t>
  </si>
  <si>
    <t xml:space="preserve">ORD10418</t>
  </si>
  <si>
    <t xml:space="preserve">ORD10419</t>
  </si>
  <si>
    <t xml:space="preserve">ORD10420</t>
  </si>
  <si>
    <t xml:space="preserve">ORD10421</t>
  </si>
  <si>
    <t xml:space="preserve">ORD10422</t>
  </si>
  <si>
    <t xml:space="preserve">ORD10423</t>
  </si>
  <si>
    <t xml:space="preserve">ORD10424</t>
  </si>
  <si>
    <t xml:space="preserve">ORD10425</t>
  </si>
  <si>
    <t xml:space="preserve">ORD10426</t>
  </si>
  <si>
    <t xml:space="preserve">ORD10427</t>
  </si>
  <si>
    <t xml:space="preserve">ORD10428</t>
  </si>
  <si>
    <t xml:space="preserve">ORD10429</t>
  </si>
  <si>
    <t xml:space="preserve">ORD10430</t>
  </si>
  <si>
    <t xml:space="preserve">ORD10431</t>
  </si>
  <si>
    <t xml:space="preserve">ORD10432</t>
  </si>
  <si>
    <t xml:space="preserve">ORD10433</t>
  </si>
  <si>
    <t xml:space="preserve">ORD10434</t>
  </si>
  <si>
    <t xml:space="preserve">ORD10435</t>
  </si>
  <si>
    <t xml:space="preserve">ORD10436</t>
  </si>
  <si>
    <t xml:space="preserve">ORD10437</t>
  </si>
  <si>
    <t xml:space="preserve">ORD10438</t>
  </si>
  <si>
    <t xml:space="preserve">ORD10439</t>
  </si>
  <si>
    <t xml:space="preserve">ORD10440</t>
  </si>
  <si>
    <t xml:space="preserve">ORD10441</t>
  </si>
  <si>
    <t xml:space="preserve">ORD10442</t>
  </si>
  <si>
    <t xml:space="preserve">ORD10443</t>
  </si>
  <si>
    <t xml:space="preserve">ORD10444</t>
  </si>
  <si>
    <t xml:space="preserve">ORD10445</t>
  </si>
  <si>
    <t xml:space="preserve">ORD10446</t>
  </si>
  <si>
    <t xml:space="preserve">ORD10447</t>
  </si>
  <si>
    <t xml:space="preserve">ORD10448</t>
  </si>
  <si>
    <t xml:space="preserve">ORD10449</t>
  </si>
  <si>
    <t xml:space="preserve">ORD10450</t>
  </si>
  <si>
    <t xml:space="preserve">ORD10451</t>
  </si>
  <si>
    <t xml:space="preserve">ORD10452</t>
  </si>
  <si>
    <t xml:space="preserve">ORD10453</t>
  </si>
  <si>
    <t xml:space="preserve">ORD10454</t>
  </si>
  <si>
    <t xml:space="preserve">ORD10455</t>
  </si>
  <si>
    <t xml:space="preserve">ORD10456</t>
  </si>
  <si>
    <t xml:space="preserve">ORD10457</t>
  </si>
  <si>
    <t xml:space="preserve">ORD10458</t>
  </si>
  <si>
    <t xml:space="preserve">ORD10459</t>
  </si>
  <si>
    <t xml:space="preserve">ORD10460</t>
  </si>
  <si>
    <t xml:space="preserve">ORD10461</t>
  </si>
  <si>
    <t xml:space="preserve">ORD10462</t>
  </si>
  <si>
    <t xml:space="preserve">ORD10463</t>
  </si>
  <si>
    <t xml:space="preserve">ORD10464</t>
  </si>
  <si>
    <t xml:space="preserve">ORD10465</t>
  </si>
  <si>
    <t xml:space="preserve">ORD10466</t>
  </si>
  <si>
    <t xml:space="preserve">ORD10467</t>
  </si>
  <si>
    <t xml:space="preserve">ORD10468</t>
  </si>
  <si>
    <t xml:space="preserve">ORD10469</t>
  </si>
  <si>
    <t xml:space="preserve">ORD10470</t>
  </si>
  <si>
    <t xml:space="preserve">ORD10471</t>
  </si>
  <si>
    <t xml:space="preserve">ORD10472</t>
  </si>
  <si>
    <t xml:space="preserve">ORD10473</t>
  </si>
  <si>
    <t xml:space="preserve">ORD10474</t>
  </si>
  <si>
    <t xml:space="preserve">ORD10475</t>
  </si>
  <si>
    <t xml:space="preserve">ORD10476</t>
  </si>
  <si>
    <t xml:space="preserve">ORD10477</t>
  </si>
  <si>
    <t xml:space="preserve">ORD10478</t>
  </si>
  <si>
    <t xml:space="preserve">ORD10479</t>
  </si>
  <si>
    <t xml:space="preserve">ORD10480</t>
  </si>
  <si>
    <t xml:space="preserve">ORD10481</t>
  </si>
  <si>
    <t xml:space="preserve">ORD10482</t>
  </si>
  <si>
    <t xml:space="preserve">ORD10483</t>
  </si>
  <si>
    <t xml:space="preserve">ORD10484</t>
  </si>
  <si>
    <t xml:space="preserve">ORD10485</t>
  </si>
  <si>
    <t xml:space="preserve">ORD10486</t>
  </si>
  <si>
    <t xml:space="preserve">ORD10487</t>
  </si>
  <si>
    <t xml:space="preserve">ORD10488</t>
  </si>
  <si>
    <t xml:space="preserve">ORD10489</t>
  </si>
  <si>
    <t xml:space="preserve">ORD10490</t>
  </si>
  <si>
    <t xml:space="preserve">ORD10491</t>
  </si>
  <si>
    <t xml:space="preserve">ORD10492</t>
  </si>
  <si>
    <t xml:space="preserve">ORD10493</t>
  </si>
  <si>
    <t xml:space="preserve">ORD10494</t>
  </si>
  <si>
    <t xml:space="preserve">ORD10495</t>
  </si>
  <si>
    <t xml:space="preserve">ORD10496</t>
  </si>
  <si>
    <t xml:space="preserve">ORD10497</t>
  </si>
  <si>
    <t xml:space="preserve">ORD10498</t>
  </si>
  <si>
    <t xml:space="preserve">ORD10499</t>
  </si>
  <si>
    <t xml:space="preserve">ORD10500</t>
  </si>
  <si>
    <t xml:space="preserve">ORD10501</t>
  </si>
  <si>
    <t xml:space="preserve">ORD10502</t>
  </si>
  <si>
    <t xml:space="preserve">ORD10503</t>
  </si>
  <si>
    <t xml:space="preserve">ORD10504</t>
  </si>
  <si>
    <t xml:space="preserve">ORD10505</t>
  </si>
  <si>
    <t xml:space="preserve">ORD10506</t>
  </si>
  <si>
    <t xml:space="preserve">ORD10507</t>
  </si>
  <si>
    <t xml:space="preserve">ORD10508</t>
  </si>
  <si>
    <t xml:space="preserve">ORD10509</t>
  </si>
  <si>
    <t xml:space="preserve">ORD10510</t>
  </si>
  <si>
    <t xml:space="preserve">ORD10511</t>
  </si>
  <si>
    <t xml:space="preserve">ORD10512</t>
  </si>
  <si>
    <t xml:space="preserve">ORD10513</t>
  </si>
  <si>
    <t xml:space="preserve">ORD10514</t>
  </si>
  <si>
    <t xml:space="preserve">ORD10515</t>
  </si>
  <si>
    <t xml:space="preserve">ORD10516</t>
  </si>
  <si>
    <t xml:space="preserve">ORD10517</t>
  </si>
  <si>
    <t xml:space="preserve">ORD10518</t>
  </si>
  <si>
    <t xml:space="preserve">ORD10519</t>
  </si>
  <si>
    <t xml:space="preserve">ORD10520</t>
  </si>
  <si>
    <t xml:space="preserve">ORD10521</t>
  </si>
  <si>
    <t xml:space="preserve">ORD10522</t>
  </si>
  <si>
    <t xml:space="preserve">ORD10523</t>
  </si>
  <si>
    <t xml:space="preserve">ORD10524</t>
  </si>
  <si>
    <t xml:space="preserve">ORD10525</t>
  </si>
  <si>
    <t xml:space="preserve">ORD10526</t>
  </si>
  <si>
    <t xml:space="preserve">ORD10527</t>
  </si>
  <si>
    <t xml:space="preserve">ORD10528</t>
  </si>
  <si>
    <t xml:space="preserve">ORD10529</t>
  </si>
  <si>
    <t xml:space="preserve">ORD10530</t>
  </si>
  <si>
    <t xml:space="preserve">ORD10531</t>
  </si>
  <si>
    <t xml:space="preserve">ORD10532</t>
  </si>
  <si>
    <t xml:space="preserve">ORD10533</t>
  </si>
  <si>
    <t xml:space="preserve">ORD10534</t>
  </si>
  <si>
    <t xml:space="preserve">ORD10535</t>
  </si>
  <si>
    <t xml:space="preserve">ORD10536</t>
  </si>
  <si>
    <t xml:space="preserve">ORD10537</t>
  </si>
  <si>
    <t xml:space="preserve">ORD10538</t>
  </si>
  <si>
    <t xml:space="preserve">ORD10539</t>
  </si>
  <si>
    <t xml:space="preserve">ORD10540</t>
  </si>
  <si>
    <t xml:space="preserve">ORD10541</t>
  </si>
  <si>
    <t xml:space="preserve">ORD10542</t>
  </si>
  <si>
    <t xml:space="preserve">ORD10543</t>
  </si>
  <si>
    <t xml:space="preserve">ORD10544</t>
  </si>
  <si>
    <t xml:space="preserve">ORD10545</t>
  </si>
  <si>
    <t xml:space="preserve">ORD10546</t>
  </si>
  <si>
    <t xml:space="preserve">ORD10547</t>
  </si>
  <si>
    <t xml:space="preserve">ORD10548</t>
  </si>
  <si>
    <t xml:space="preserve">ORD10549</t>
  </si>
  <si>
    <t xml:space="preserve">ORD10550</t>
  </si>
  <si>
    <t xml:space="preserve">ORD10551</t>
  </si>
  <si>
    <t xml:space="preserve">ORD10552</t>
  </si>
  <si>
    <t xml:space="preserve">ORD10553</t>
  </si>
  <si>
    <t xml:space="preserve">ORD10554</t>
  </si>
  <si>
    <t xml:space="preserve">ORD10555</t>
  </si>
  <si>
    <t xml:space="preserve">ORD10556</t>
  </si>
  <si>
    <t xml:space="preserve">ORD10557</t>
  </si>
  <si>
    <t xml:space="preserve">ORD10558</t>
  </si>
  <si>
    <t xml:space="preserve">ORD10559</t>
  </si>
  <si>
    <t xml:space="preserve">ORD10560</t>
  </si>
  <si>
    <t xml:space="preserve">ORD10561</t>
  </si>
  <si>
    <t xml:space="preserve">ORD10562</t>
  </si>
  <si>
    <t xml:space="preserve">ORD10563</t>
  </si>
  <si>
    <t xml:space="preserve">ORD10564</t>
  </si>
  <si>
    <t xml:space="preserve">ORD10565</t>
  </si>
  <si>
    <t xml:space="preserve">ORD10566</t>
  </si>
  <si>
    <t xml:space="preserve">ORD10567</t>
  </si>
  <si>
    <t xml:space="preserve">ORD10568</t>
  </si>
  <si>
    <t xml:space="preserve">ORD10569</t>
  </si>
  <si>
    <t xml:space="preserve">ORD10570</t>
  </si>
  <si>
    <t xml:space="preserve">ORD10571</t>
  </si>
  <si>
    <t xml:space="preserve">ORD10572</t>
  </si>
  <si>
    <t xml:space="preserve">ORD10573</t>
  </si>
  <si>
    <t xml:space="preserve">ORD10574</t>
  </si>
  <si>
    <t xml:space="preserve">ORD10575</t>
  </si>
  <si>
    <t xml:space="preserve">ORD10576</t>
  </si>
  <si>
    <t xml:space="preserve">ORD10577</t>
  </si>
  <si>
    <t xml:space="preserve">ORD10578</t>
  </si>
  <si>
    <t xml:space="preserve">ORD10579</t>
  </si>
  <si>
    <t xml:space="preserve">ORD10580</t>
  </si>
  <si>
    <t xml:space="preserve">ORD10581</t>
  </si>
  <si>
    <t xml:space="preserve">ORD10582</t>
  </si>
  <si>
    <t xml:space="preserve">ORD10583</t>
  </si>
  <si>
    <t xml:space="preserve">ORD10584</t>
  </si>
  <si>
    <t xml:space="preserve">ORD10585</t>
  </si>
  <si>
    <t xml:space="preserve">ORD10586</t>
  </si>
  <si>
    <t xml:space="preserve">ORD10587</t>
  </si>
  <si>
    <t xml:space="preserve">ORD10588</t>
  </si>
  <si>
    <t xml:space="preserve">ORD10589</t>
  </si>
  <si>
    <t xml:space="preserve">ORD10590</t>
  </si>
  <si>
    <t xml:space="preserve">ORD10591</t>
  </si>
  <si>
    <t xml:space="preserve">ORD10592</t>
  </si>
  <si>
    <t xml:space="preserve">ORD10593</t>
  </si>
  <si>
    <t xml:space="preserve">ORD10594</t>
  </si>
  <si>
    <t xml:space="preserve">ORD10595</t>
  </si>
  <si>
    <t xml:space="preserve">ORD10596</t>
  </si>
  <si>
    <t xml:space="preserve">ORD10597</t>
  </si>
  <si>
    <t xml:space="preserve">ORD10598</t>
  </si>
  <si>
    <t xml:space="preserve">ORD10599</t>
  </si>
  <si>
    <t xml:space="preserve">ORD10600</t>
  </si>
  <si>
    <t xml:space="preserve">ORD10601</t>
  </si>
  <si>
    <t xml:space="preserve">ORD10602</t>
  </si>
  <si>
    <t xml:space="preserve">ORD10603</t>
  </si>
  <si>
    <t xml:space="preserve">ORD10604</t>
  </si>
  <si>
    <t xml:space="preserve">ORD10605</t>
  </si>
  <si>
    <t xml:space="preserve">ORD10606</t>
  </si>
  <si>
    <t xml:space="preserve">ORD10607</t>
  </si>
  <si>
    <t xml:space="preserve">ORD10608</t>
  </si>
  <si>
    <t xml:space="preserve">ORD10609</t>
  </si>
  <si>
    <t xml:space="preserve">ORD10610</t>
  </si>
  <si>
    <t xml:space="preserve">ORD10611</t>
  </si>
  <si>
    <t xml:space="preserve">ORD10612</t>
  </si>
  <si>
    <t xml:space="preserve">ORD10613</t>
  </si>
  <si>
    <t xml:space="preserve">ORD10614</t>
  </si>
  <si>
    <t xml:space="preserve">ORD10615</t>
  </si>
  <si>
    <t xml:space="preserve">ORD10616</t>
  </si>
  <si>
    <t xml:space="preserve">ORD10617</t>
  </si>
  <si>
    <t xml:space="preserve">ORD10618</t>
  </si>
  <si>
    <t xml:space="preserve">ORD10619</t>
  </si>
  <si>
    <t xml:space="preserve">ORD10620</t>
  </si>
  <si>
    <t xml:space="preserve">ORD10621</t>
  </si>
  <si>
    <t xml:space="preserve">ORD10622</t>
  </si>
  <si>
    <t xml:space="preserve">ORD10623</t>
  </si>
  <si>
    <t xml:space="preserve">ORD10624</t>
  </si>
  <si>
    <t xml:space="preserve">ORD10625</t>
  </si>
  <si>
    <t xml:space="preserve">ORD10626</t>
  </si>
  <si>
    <t xml:space="preserve">ORD10627</t>
  </si>
  <si>
    <t xml:space="preserve">ORD10628</t>
  </si>
  <si>
    <t xml:space="preserve">ORD10629</t>
  </si>
  <si>
    <t xml:space="preserve">ORD10630</t>
  </si>
  <si>
    <t xml:space="preserve">ORD10631</t>
  </si>
  <si>
    <t xml:space="preserve">ORD10632</t>
  </si>
  <si>
    <t xml:space="preserve">ORD10633</t>
  </si>
  <si>
    <t xml:space="preserve">ORD10634</t>
  </si>
  <si>
    <t xml:space="preserve">ORD10635</t>
  </si>
  <si>
    <t xml:space="preserve">ORD10636</t>
  </si>
  <si>
    <t xml:space="preserve">ORD10637</t>
  </si>
  <si>
    <t xml:space="preserve">ORD10638</t>
  </si>
  <si>
    <t xml:space="preserve">ORD10639</t>
  </si>
  <si>
    <t xml:space="preserve">ORD10640</t>
  </si>
  <si>
    <t xml:space="preserve">ORD10641</t>
  </si>
  <si>
    <t xml:space="preserve">ORD10642</t>
  </si>
  <si>
    <t xml:space="preserve">ORD10643</t>
  </si>
  <si>
    <t xml:space="preserve">ORD10644</t>
  </si>
  <si>
    <t xml:space="preserve">ORD10645</t>
  </si>
  <si>
    <t xml:space="preserve">ORD10646</t>
  </si>
  <si>
    <t xml:space="preserve">ORD10647</t>
  </si>
  <si>
    <t xml:space="preserve">ORD10648</t>
  </si>
  <si>
    <t xml:space="preserve">ORD10649</t>
  </si>
  <si>
    <t xml:space="preserve">ORD10650</t>
  </si>
  <si>
    <t xml:space="preserve">ORD10651</t>
  </si>
  <si>
    <t xml:space="preserve">ORD10652</t>
  </si>
  <si>
    <t xml:space="preserve">ORD10653</t>
  </si>
  <si>
    <t xml:space="preserve">ORD10654</t>
  </si>
  <si>
    <t xml:space="preserve">ORD10655</t>
  </si>
  <si>
    <t xml:space="preserve">ORD10656</t>
  </si>
  <si>
    <t xml:space="preserve">ORD10657</t>
  </si>
  <si>
    <t xml:space="preserve">ORD10658</t>
  </si>
  <si>
    <t xml:space="preserve">ORD10659</t>
  </si>
  <si>
    <t xml:space="preserve">ORD10660</t>
  </si>
  <si>
    <t xml:space="preserve">ORD10661</t>
  </si>
  <si>
    <t xml:space="preserve">ORD10662</t>
  </si>
  <si>
    <t xml:space="preserve">ORD10663</t>
  </si>
  <si>
    <t xml:space="preserve">ORD10664</t>
  </si>
  <si>
    <t xml:space="preserve">ORD10665</t>
  </si>
  <si>
    <t xml:space="preserve">ORD10666</t>
  </si>
  <si>
    <t xml:space="preserve">ORD10667</t>
  </si>
  <si>
    <t xml:space="preserve">ORD10668</t>
  </si>
  <si>
    <t xml:space="preserve">ORD10669</t>
  </si>
  <si>
    <t xml:space="preserve">ORD10670</t>
  </si>
  <si>
    <t xml:space="preserve">ORD10671</t>
  </si>
  <si>
    <t xml:space="preserve">ORD10672</t>
  </si>
  <si>
    <t xml:space="preserve">ORD10673</t>
  </si>
  <si>
    <t xml:space="preserve">ORD10674</t>
  </si>
  <si>
    <t xml:space="preserve">ORD10675</t>
  </si>
  <si>
    <t xml:space="preserve">ORD10676</t>
  </si>
  <si>
    <t xml:space="preserve">ORD10677</t>
  </si>
  <si>
    <t xml:space="preserve">ORD10678</t>
  </si>
  <si>
    <t xml:space="preserve">ORD10679</t>
  </si>
  <si>
    <t xml:space="preserve">ORD10680</t>
  </si>
  <si>
    <t xml:space="preserve">ORD10681</t>
  </si>
  <si>
    <t xml:space="preserve">ORD10682</t>
  </si>
  <si>
    <t xml:space="preserve">ORD10683</t>
  </si>
  <si>
    <t xml:space="preserve">ORD10684</t>
  </si>
  <si>
    <t xml:space="preserve">ORD10685</t>
  </si>
  <si>
    <t xml:space="preserve">ORD10686</t>
  </si>
  <si>
    <t xml:space="preserve">ORD10687</t>
  </si>
  <si>
    <t xml:space="preserve">ORD10688</t>
  </si>
  <si>
    <t xml:space="preserve">ORD10689</t>
  </si>
  <si>
    <t xml:space="preserve">ORD10690</t>
  </si>
  <si>
    <t xml:space="preserve">ORD10691</t>
  </si>
  <si>
    <t xml:space="preserve">ORD10692</t>
  </si>
  <si>
    <t xml:space="preserve">ORD10693</t>
  </si>
  <si>
    <t xml:space="preserve">ORD10694</t>
  </si>
  <si>
    <t xml:space="preserve">ORD10695</t>
  </si>
  <si>
    <t xml:space="preserve">ORD10696</t>
  </si>
  <si>
    <t xml:space="preserve">ORD10697</t>
  </si>
  <si>
    <t xml:space="preserve">ORD10698</t>
  </si>
  <si>
    <t xml:space="preserve">ORD10699</t>
  </si>
  <si>
    <t xml:space="preserve">ORD10700</t>
  </si>
  <si>
    <t xml:space="preserve">ORD10701</t>
  </si>
  <si>
    <t xml:space="preserve">ORD10702</t>
  </si>
  <si>
    <t xml:space="preserve">ORD10703</t>
  </si>
  <si>
    <t xml:space="preserve">ORD10704</t>
  </si>
  <si>
    <t xml:space="preserve">ORD10705</t>
  </si>
  <si>
    <t xml:space="preserve">ORD10706</t>
  </si>
  <si>
    <t xml:space="preserve">ORD10707</t>
  </si>
  <si>
    <t xml:space="preserve">ORD10708</t>
  </si>
  <si>
    <t xml:space="preserve">ORD10709</t>
  </si>
  <si>
    <t xml:space="preserve">ORD10710</t>
  </si>
  <si>
    <t xml:space="preserve">ORD10711</t>
  </si>
  <si>
    <t xml:space="preserve">ORD10712</t>
  </si>
  <si>
    <t xml:space="preserve">ORD10713</t>
  </si>
  <si>
    <t xml:space="preserve">ORD10714</t>
  </si>
  <si>
    <t xml:space="preserve">ORD10715</t>
  </si>
  <si>
    <t xml:space="preserve">ORD10716</t>
  </si>
  <si>
    <t xml:space="preserve">ORD10717</t>
  </si>
  <si>
    <t xml:space="preserve">ORD10718</t>
  </si>
  <si>
    <t xml:space="preserve">ORD10719</t>
  </si>
  <si>
    <t xml:space="preserve">ORD10720</t>
  </si>
  <si>
    <t xml:space="preserve">ORD10721</t>
  </si>
  <si>
    <t xml:space="preserve">ORD10722</t>
  </si>
  <si>
    <t xml:space="preserve">ORD10723</t>
  </si>
  <si>
    <t xml:space="preserve">ORD10724</t>
  </si>
  <si>
    <t xml:space="preserve">ORD10725</t>
  </si>
  <si>
    <t xml:space="preserve">ORD10726</t>
  </si>
  <si>
    <t xml:space="preserve">ORD10727</t>
  </si>
  <si>
    <t xml:space="preserve">ORD10728</t>
  </si>
  <si>
    <t xml:space="preserve">ORD10729</t>
  </si>
  <si>
    <t xml:space="preserve">ORD10730</t>
  </si>
  <si>
    <t xml:space="preserve">ORD10731</t>
  </si>
  <si>
    <t xml:space="preserve">ORD10732</t>
  </si>
  <si>
    <t xml:space="preserve">ORD10733</t>
  </si>
  <si>
    <t xml:space="preserve">ORD10734</t>
  </si>
  <si>
    <t xml:space="preserve">ORD10735</t>
  </si>
  <si>
    <t xml:space="preserve">ORD10736</t>
  </si>
  <si>
    <t xml:space="preserve">ORD10737</t>
  </si>
  <si>
    <t xml:space="preserve">ORD10738</t>
  </si>
  <si>
    <t xml:space="preserve">ORD10739</t>
  </si>
  <si>
    <t xml:space="preserve">ORD10740</t>
  </si>
  <si>
    <t xml:space="preserve">ORD10741</t>
  </si>
  <si>
    <t xml:space="preserve">ORD10742</t>
  </si>
  <si>
    <t xml:space="preserve">ORD10743</t>
  </si>
  <si>
    <t xml:space="preserve">ORD10744</t>
  </si>
  <si>
    <t xml:space="preserve">ORD10745</t>
  </si>
  <si>
    <t xml:space="preserve">ORD10746</t>
  </si>
  <si>
    <t xml:space="preserve">ORD10747</t>
  </si>
  <si>
    <t xml:space="preserve">ORD10748</t>
  </si>
  <si>
    <t xml:space="preserve">ORD10749</t>
  </si>
  <si>
    <t xml:space="preserve">ORD10750</t>
  </si>
  <si>
    <t xml:space="preserve">ORD10751</t>
  </si>
  <si>
    <t xml:space="preserve">ORD10752</t>
  </si>
  <si>
    <t xml:space="preserve">ORD10753</t>
  </si>
  <si>
    <t xml:space="preserve">ORD10754</t>
  </si>
  <si>
    <t xml:space="preserve">ORD10755</t>
  </si>
  <si>
    <t xml:space="preserve">ORD10756</t>
  </si>
  <si>
    <t xml:space="preserve">ORD10757</t>
  </si>
  <si>
    <t xml:space="preserve">ORD10758</t>
  </si>
  <si>
    <t xml:space="preserve">ORD10759</t>
  </si>
  <si>
    <t xml:space="preserve">ORD10760</t>
  </si>
  <si>
    <t xml:space="preserve">ORD10761</t>
  </si>
  <si>
    <t xml:space="preserve">ORD10762</t>
  </si>
  <si>
    <t xml:space="preserve">ORD10763</t>
  </si>
  <si>
    <t xml:space="preserve">ORD10764</t>
  </si>
  <si>
    <t xml:space="preserve">ORD10765</t>
  </si>
  <si>
    <t xml:space="preserve">ORD10766</t>
  </si>
  <si>
    <t xml:space="preserve">ORD10767</t>
  </si>
  <si>
    <t xml:space="preserve">ORD10768</t>
  </si>
  <si>
    <t xml:space="preserve">ORD10769</t>
  </si>
  <si>
    <t xml:space="preserve">ORD10770</t>
  </si>
  <si>
    <t xml:space="preserve">ORD10771</t>
  </si>
  <si>
    <t xml:space="preserve">ORD10772</t>
  </si>
  <si>
    <t xml:space="preserve">ORD10773</t>
  </si>
  <si>
    <t xml:space="preserve">ORD10774</t>
  </si>
  <si>
    <t xml:space="preserve">ORD10775</t>
  </si>
  <si>
    <t xml:space="preserve">ORD10776</t>
  </si>
  <si>
    <t xml:space="preserve">ORD10777</t>
  </si>
  <si>
    <t xml:space="preserve">ORD10778</t>
  </si>
  <si>
    <t xml:space="preserve">ORD10779</t>
  </si>
  <si>
    <t xml:space="preserve">ORD10780</t>
  </si>
  <si>
    <t xml:space="preserve">ORD10781</t>
  </si>
  <si>
    <t xml:space="preserve">ORD10782</t>
  </si>
  <si>
    <t xml:space="preserve">ORD10783</t>
  </si>
  <si>
    <t xml:space="preserve">ORD10784</t>
  </si>
  <si>
    <t xml:space="preserve">ORD10785</t>
  </si>
  <si>
    <t xml:space="preserve">ORD10786</t>
  </si>
  <si>
    <t xml:space="preserve">ORD10787</t>
  </si>
  <si>
    <t xml:space="preserve">ORD10788</t>
  </si>
  <si>
    <t xml:space="preserve">ORD10789</t>
  </si>
  <si>
    <t xml:space="preserve">ORD10790</t>
  </si>
  <si>
    <t xml:space="preserve">ORD10791</t>
  </si>
  <si>
    <t xml:space="preserve">ORD10792</t>
  </si>
  <si>
    <t xml:space="preserve">ORD10793</t>
  </si>
  <si>
    <t xml:space="preserve">ORD10794</t>
  </si>
  <si>
    <t xml:space="preserve">ORD10795</t>
  </si>
  <si>
    <t xml:space="preserve">ORD10796</t>
  </si>
  <si>
    <t xml:space="preserve">ORD10797</t>
  </si>
  <si>
    <t xml:space="preserve">ORD10798</t>
  </si>
  <si>
    <t xml:space="preserve">ORD10799</t>
  </si>
  <si>
    <t xml:space="preserve">ORD10800</t>
  </si>
  <si>
    <t xml:space="preserve">ORD10801</t>
  </si>
  <si>
    <t xml:space="preserve">ORD10802</t>
  </si>
  <si>
    <t xml:space="preserve">ORD10803</t>
  </si>
  <si>
    <t xml:space="preserve">ORD10804</t>
  </si>
  <si>
    <t xml:space="preserve">ORD10805</t>
  </si>
  <si>
    <t xml:space="preserve">ORD10806</t>
  </si>
  <si>
    <t xml:space="preserve">ORD10807</t>
  </si>
  <si>
    <t xml:space="preserve">ORD10808</t>
  </si>
  <si>
    <t xml:space="preserve">ORD10809</t>
  </si>
  <si>
    <t xml:space="preserve">ORD10810</t>
  </si>
  <si>
    <t xml:space="preserve">ORD10811</t>
  </si>
  <si>
    <t xml:space="preserve">ORD10812</t>
  </si>
  <si>
    <t xml:space="preserve">ORD10813</t>
  </si>
  <si>
    <t xml:space="preserve">ORD10814</t>
  </si>
  <si>
    <t xml:space="preserve">ORD10815</t>
  </si>
  <si>
    <t xml:space="preserve">ORD10816</t>
  </si>
  <si>
    <t xml:space="preserve">ORD10817</t>
  </si>
  <si>
    <t xml:space="preserve">ORD10818</t>
  </si>
  <si>
    <t xml:space="preserve">ORD10819</t>
  </si>
  <si>
    <t xml:space="preserve">ORD10820</t>
  </si>
  <si>
    <t xml:space="preserve">ORD10821</t>
  </si>
  <si>
    <t xml:space="preserve">ORD10822</t>
  </si>
  <si>
    <t xml:space="preserve">ORD10823</t>
  </si>
  <si>
    <t xml:space="preserve">ORD10824</t>
  </si>
  <si>
    <t xml:space="preserve">ORD10825</t>
  </si>
  <si>
    <t xml:space="preserve">ORD10826</t>
  </si>
  <si>
    <t xml:space="preserve">ORD10827</t>
  </si>
  <si>
    <t xml:space="preserve">ORD10828</t>
  </si>
  <si>
    <t xml:space="preserve">ORD10829</t>
  </si>
  <si>
    <t xml:space="preserve">ORD10830</t>
  </si>
  <si>
    <t xml:space="preserve">ORD10831</t>
  </si>
  <si>
    <t xml:space="preserve">ORD10832</t>
  </si>
  <si>
    <t xml:space="preserve">ORD10833</t>
  </si>
  <si>
    <t xml:space="preserve">ORD10834</t>
  </si>
  <si>
    <t xml:space="preserve">ORD10835</t>
  </si>
  <si>
    <t xml:space="preserve">ORD10836</t>
  </si>
  <si>
    <t xml:space="preserve">ORD10837</t>
  </si>
  <si>
    <t xml:space="preserve">ORD10838</t>
  </si>
  <si>
    <t xml:space="preserve">ORD10839</t>
  </si>
  <si>
    <t xml:space="preserve">ORD10840</t>
  </si>
  <si>
    <t xml:space="preserve">ORD10841</t>
  </si>
  <si>
    <t xml:space="preserve">ORD10842</t>
  </si>
  <si>
    <t xml:space="preserve">ORD10843</t>
  </si>
  <si>
    <t xml:space="preserve">ORD10844</t>
  </si>
  <si>
    <t xml:space="preserve">ORD10845</t>
  </si>
  <si>
    <t xml:space="preserve">ORD10846</t>
  </si>
  <si>
    <t xml:space="preserve">ORD10847</t>
  </si>
  <si>
    <t xml:space="preserve">ORD10848</t>
  </si>
  <si>
    <t xml:space="preserve">ORD10849</t>
  </si>
  <si>
    <t xml:space="preserve">ORD10850</t>
  </si>
  <si>
    <t xml:space="preserve">ORD10851</t>
  </si>
  <si>
    <t xml:space="preserve">ORD10852</t>
  </si>
  <si>
    <t xml:space="preserve">ORD10853</t>
  </si>
  <si>
    <t xml:space="preserve">ORD10854</t>
  </si>
  <si>
    <t xml:space="preserve">ORD10855</t>
  </si>
  <si>
    <t xml:space="preserve">ORD10856</t>
  </si>
  <si>
    <t xml:space="preserve">ORD10857</t>
  </si>
  <si>
    <t xml:space="preserve">ORD10858</t>
  </si>
  <si>
    <t xml:space="preserve">ORD10859</t>
  </si>
  <si>
    <t xml:space="preserve">ORD10860</t>
  </si>
  <si>
    <t xml:space="preserve">ORD10861</t>
  </si>
  <si>
    <t xml:space="preserve">ORD10862</t>
  </si>
  <si>
    <t xml:space="preserve">ORD10863</t>
  </si>
  <si>
    <t xml:space="preserve">ORD10864</t>
  </si>
  <si>
    <t xml:space="preserve">ORD10865</t>
  </si>
  <si>
    <t xml:space="preserve">ORD10866</t>
  </si>
  <si>
    <t xml:space="preserve">ORD10867</t>
  </si>
  <si>
    <t xml:space="preserve">ORD10868</t>
  </si>
  <si>
    <t xml:space="preserve">ORD10869</t>
  </si>
  <si>
    <t xml:space="preserve">ORD10870</t>
  </si>
  <si>
    <t xml:space="preserve">ORD10871</t>
  </si>
  <si>
    <t xml:space="preserve">ORD10872</t>
  </si>
  <si>
    <t xml:space="preserve">ORD10873</t>
  </si>
  <si>
    <t xml:space="preserve">ORD10874</t>
  </si>
  <si>
    <t xml:space="preserve">ORD10875</t>
  </si>
  <si>
    <t xml:space="preserve">ORD10876</t>
  </si>
  <si>
    <t xml:space="preserve">ORD10877</t>
  </si>
  <si>
    <t xml:space="preserve">ORD10878</t>
  </si>
  <si>
    <t xml:space="preserve">ORD10879</t>
  </si>
  <si>
    <t xml:space="preserve">ORD10880</t>
  </si>
  <si>
    <t xml:space="preserve">ORD10881</t>
  </si>
  <si>
    <t xml:space="preserve">ORD10882</t>
  </si>
  <si>
    <t xml:space="preserve">ORD10883</t>
  </si>
  <si>
    <t xml:space="preserve">ORD10884</t>
  </si>
  <si>
    <t xml:space="preserve">ORD10885</t>
  </si>
  <si>
    <t xml:space="preserve">ORD10886</t>
  </si>
  <si>
    <t xml:space="preserve">ORD10887</t>
  </si>
  <si>
    <t xml:space="preserve">ORD10888</t>
  </si>
  <si>
    <t xml:space="preserve">ORD10889</t>
  </si>
  <si>
    <t xml:space="preserve">ORD10890</t>
  </si>
  <si>
    <t xml:space="preserve">ORD10891</t>
  </si>
  <si>
    <t xml:space="preserve">ORD10892</t>
  </si>
  <si>
    <t xml:space="preserve">ORD10893</t>
  </si>
  <si>
    <t xml:space="preserve">ORD10894</t>
  </si>
  <si>
    <t xml:space="preserve">ORD10895</t>
  </si>
  <si>
    <t xml:space="preserve">ORD10896</t>
  </si>
  <si>
    <t xml:space="preserve">ORD10897</t>
  </si>
  <si>
    <t xml:space="preserve">ORD10898</t>
  </si>
  <si>
    <t xml:space="preserve">ORD10899</t>
  </si>
  <si>
    <t xml:space="preserve">ORD10900</t>
  </si>
  <si>
    <t xml:space="preserve">ORD10901</t>
  </si>
  <si>
    <t xml:space="preserve">ORD10902</t>
  </si>
  <si>
    <t xml:space="preserve">ORD10903</t>
  </si>
  <si>
    <t xml:space="preserve">ORD10904</t>
  </si>
  <si>
    <t xml:space="preserve">ORD10905</t>
  </si>
  <si>
    <t xml:space="preserve">ORD10906</t>
  </si>
  <si>
    <t xml:space="preserve">ORD10907</t>
  </si>
  <si>
    <t xml:space="preserve">ORD10908</t>
  </si>
  <si>
    <t xml:space="preserve">ORD10909</t>
  </si>
  <si>
    <t xml:space="preserve">ORD10910</t>
  </si>
  <si>
    <t xml:space="preserve">ORD10911</t>
  </si>
  <si>
    <t xml:space="preserve">ORD10912</t>
  </si>
  <si>
    <t xml:space="preserve">ORD10913</t>
  </si>
  <si>
    <t xml:space="preserve">ORD10914</t>
  </si>
  <si>
    <t xml:space="preserve">ORD10915</t>
  </si>
  <si>
    <t xml:space="preserve">ORD10916</t>
  </si>
  <si>
    <t xml:space="preserve">ORD10917</t>
  </si>
  <si>
    <t xml:space="preserve">ORD10918</t>
  </si>
  <si>
    <t xml:space="preserve">ORD10919</t>
  </si>
  <si>
    <t xml:space="preserve">ORD10920</t>
  </si>
  <si>
    <t xml:space="preserve">ORD10921</t>
  </si>
  <si>
    <t xml:space="preserve">ORD10922</t>
  </si>
  <si>
    <t xml:space="preserve">ORD10923</t>
  </si>
  <si>
    <t xml:space="preserve">ORD10924</t>
  </si>
  <si>
    <t xml:space="preserve">ORD10925</t>
  </si>
  <si>
    <t xml:space="preserve">ORD10926</t>
  </si>
  <si>
    <t xml:space="preserve">ORD10927</t>
  </si>
  <si>
    <t xml:space="preserve">ORD10928</t>
  </si>
  <si>
    <t xml:space="preserve">ORD10929</t>
  </si>
  <si>
    <t xml:space="preserve">ORD10930</t>
  </si>
  <si>
    <t xml:space="preserve">ORD10931</t>
  </si>
  <si>
    <t xml:space="preserve">ORD10932</t>
  </si>
  <si>
    <t xml:space="preserve">ORD10933</t>
  </si>
  <si>
    <t xml:space="preserve">ORD10934</t>
  </si>
  <si>
    <t xml:space="preserve">ORD10935</t>
  </si>
  <si>
    <t xml:space="preserve">ORD10936</t>
  </si>
  <si>
    <t xml:space="preserve">ORD10937</t>
  </si>
  <si>
    <t xml:space="preserve">ORD10938</t>
  </si>
  <si>
    <t xml:space="preserve">ORD10939</t>
  </si>
  <si>
    <t xml:space="preserve">ORD10940</t>
  </si>
  <si>
    <t xml:space="preserve">ORD10941</t>
  </si>
  <si>
    <t xml:space="preserve">ORD10942</t>
  </si>
  <si>
    <t xml:space="preserve">ORD10943</t>
  </si>
  <si>
    <t xml:space="preserve">ORD10944</t>
  </si>
  <si>
    <t xml:space="preserve">ORD10945</t>
  </si>
  <si>
    <t xml:space="preserve">ORD10946</t>
  </si>
  <si>
    <t xml:space="preserve">ORD10947</t>
  </si>
  <si>
    <t xml:space="preserve">ORD10948</t>
  </si>
  <si>
    <t xml:space="preserve">ORD10949</t>
  </si>
  <si>
    <t xml:space="preserve">ORD10950</t>
  </si>
  <si>
    <t xml:space="preserve">ORD10951</t>
  </si>
  <si>
    <t xml:space="preserve">ORD10952</t>
  </si>
  <si>
    <t xml:space="preserve">ORD10953</t>
  </si>
  <si>
    <t xml:space="preserve">ORD10954</t>
  </si>
  <si>
    <t xml:space="preserve">ORD10955</t>
  </si>
  <si>
    <t xml:space="preserve">ORD10956</t>
  </si>
  <si>
    <t xml:space="preserve">ORD10957</t>
  </si>
  <si>
    <t xml:space="preserve">ORD10958</t>
  </si>
  <si>
    <t xml:space="preserve">ORD10959</t>
  </si>
  <si>
    <t xml:space="preserve">ORD10960</t>
  </si>
  <si>
    <t xml:space="preserve">ORD10961</t>
  </si>
  <si>
    <t xml:space="preserve">ORD10962</t>
  </si>
  <si>
    <t xml:space="preserve">ORD10963</t>
  </si>
  <si>
    <t xml:space="preserve">ORD10964</t>
  </si>
  <si>
    <t xml:space="preserve">ORD10965</t>
  </si>
  <si>
    <t xml:space="preserve">ORD10966</t>
  </si>
  <si>
    <t xml:space="preserve">ORD10967</t>
  </si>
  <si>
    <t xml:space="preserve">ORD10968</t>
  </si>
  <si>
    <t xml:space="preserve">ORD10969</t>
  </si>
  <si>
    <t xml:space="preserve">ORD10970</t>
  </si>
  <si>
    <t xml:space="preserve">ORD10971</t>
  </si>
  <si>
    <t xml:space="preserve">ORD10972</t>
  </si>
  <si>
    <t xml:space="preserve">ORD10973</t>
  </si>
  <si>
    <t xml:space="preserve">ORD10974</t>
  </si>
  <si>
    <t xml:space="preserve">ORD10975</t>
  </si>
  <si>
    <t xml:space="preserve">ORD10976</t>
  </si>
  <si>
    <t xml:space="preserve">ORD10977</t>
  </si>
  <si>
    <t xml:space="preserve">ORD10978</t>
  </si>
  <si>
    <t xml:space="preserve">ORD10979</t>
  </si>
  <si>
    <t xml:space="preserve">ORD10980</t>
  </si>
  <si>
    <t xml:space="preserve">ORD10981</t>
  </si>
  <si>
    <t xml:space="preserve">ORD10982</t>
  </si>
  <si>
    <t xml:space="preserve">ORD10983</t>
  </si>
  <si>
    <t xml:space="preserve">ORD10984</t>
  </si>
  <si>
    <t xml:space="preserve">ORD10985</t>
  </si>
  <si>
    <t xml:space="preserve">ORD10986</t>
  </si>
  <si>
    <t xml:space="preserve">ORD10987</t>
  </si>
  <si>
    <t xml:space="preserve">ORD10988</t>
  </si>
  <si>
    <t xml:space="preserve">ORD10989</t>
  </si>
  <si>
    <t xml:space="preserve">ORD10990</t>
  </si>
  <si>
    <t xml:space="preserve">ORD10991</t>
  </si>
  <si>
    <t xml:space="preserve">ORD10992</t>
  </si>
  <si>
    <t xml:space="preserve">ORD10993</t>
  </si>
  <si>
    <t xml:space="preserve">ORD10994</t>
  </si>
  <si>
    <t xml:space="preserve">ORD10995</t>
  </si>
  <si>
    <t xml:space="preserve">ORD10996</t>
  </si>
  <si>
    <t xml:space="preserve">ORD10997</t>
  </si>
  <si>
    <t xml:space="preserve">ORD10998</t>
  </si>
  <si>
    <t xml:space="preserve">ORD10999</t>
  </si>
  <si>
    <t xml:space="preserve">ORD11000</t>
  </si>
  <si>
    <t xml:space="preserve">ORD11001</t>
  </si>
  <si>
    <t xml:space="preserve">ORD11002</t>
  </si>
  <si>
    <t xml:space="preserve">ORD11003</t>
  </si>
  <si>
    <t xml:space="preserve">ORD11004</t>
  </si>
  <si>
    <t xml:space="preserve">ORD11005</t>
  </si>
  <si>
    <t xml:space="preserve">ORD11006</t>
  </si>
  <si>
    <t xml:space="preserve">ORD11007</t>
  </si>
  <si>
    <t xml:space="preserve">ORD11008</t>
  </si>
  <si>
    <t xml:space="preserve">ORD11009</t>
  </si>
  <si>
    <t xml:space="preserve">ORD11010</t>
  </si>
  <si>
    <t xml:space="preserve">ORD11011</t>
  </si>
  <si>
    <t xml:space="preserve">ORD11012</t>
  </si>
  <si>
    <t xml:space="preserve">ORD11013</t>
  </si>
  <si>
    <t xml:space="preserve">ORD11014</t>
  </si>
  <si>
    <t xml:space="preserve">ORD11015</t>
  </si>
  <si>
    <t xml:space="preserve">ORD11016</t>
  </si>
  <si>
    <t xml:space="preserve">ORD11017</t>
  </si>
  <si>
    <t xml:space="preserve">ORD11018</t>
  </si>
  <si>
    <t xml:space="preserve">ORD11019</t>
  </si>
  <si>
    <t xml:space="preserve">ORD11020</t>
  </si>
  <si>
    <t xml:space="preserve">ORD11021</t>
  </si>
  <si>
    <t xml:space="preserve">ORD11022</t>
  </si>
  <si>
    <t xml:space="preserve">ORD11023</t>
  </si>
  <si>
    <t xml:space="preserve">ORD11024</t>
  </si>
  <si>
    <t xml:space="preserve">ORD11025</t>
  </si>
  <si>
    <t xml:space="preserve">ORD11026</t>
  </si>
  <si>
    <t xml:space="preserve">ORD11027</t>
  </si>
  <si>
    <t xml:space="preserve">ORD11028</t>
  </si>
  <si>
    <t xml:space="preserve">ORD11029</t>
  </si>
  <si>
    <t xml:space="preserve">ORD11030</t>
  </si>
  <si>
    <t xml:space="preserve">ORD11031</t>
  </si>
  <si>
    <t xml:space="preserve">ORD11032</t>
  </si>
  <si>
    <t xml:space="preserve">ORD11033</t>
  </si>
  <si>
    <t xml:space="preserve">ORD11034</t>
  </si>
  <si>
    <t xml:space="preserve">ORD11035</t>
  </si>
  <si>
    <t xml:space="preserve">ORD11036</t>
  </si>
  <si>
    <t xml:space="preserve">ORD11037</t>
  </si>
  <si>
    <t xml:space="preserve">ORD11038</t>
  </si>
  <si>
    <t xml:space="preserve">ORD11039</t>
  </si>
  <si>
    <t xml:space="preserve">ORD11040</t>
  </si>
  <si>
    <t xml:space="preserve">ORD11041</t>
  </si>
  <si>
    <t xml:space="preserve">ORD11042</t>
  </si>
  <si>
    <t xml:space="preserve">ORD11043</t>
  </si>
  <si>
    <t xml:space="preserve">ORD11044</t>
  </si>
  <si>
    <t xml:space="preserve">ORD11045</t>
  </si>
  <si>
    <t xml:space="preserve">ORD11046</t>
  </si>
  <si>
    <t xml:space="preserve">ORD11047</t>
  </si>
  <si>
    <t xml:space="preserve">ORD11048</t>
  </si>
  <si>
    <t xml:space="preserve">ORD11049</t>
  </si>
  <si>
    <t xml:space="preserve">ORD11050</t>
  </si>
  <si>
    <t xml:space="preserve">ORD11051</t>
  </si>
  <si>
    <t xml:space="preserve">ORD11052</t>
  </si>
  <si>
    <t xml:space="preserve">ORD11053</t>
  </si>
  <si>
    <t xml:space="preserve">ORD11054</t>
  </si>
  <si>
    <t xml:space="preserve">ORD11055</t>
  </si>
  <si>
    <t xml:space="preserve">ORD11056</t>
  </si>
  <si>
    <t xml:space="preserve">ORD11057</t>
  </si>
  <si>
    <t xml:space="preserve">ORD11058</t>
  </si>
  <si>
    <t xml:space="preserve">ORD11059</t>
  </si>
  <si>
    <t xml:space="preserve">ORD11060</t>
  </si>
  <si>
    <t xml:space="preserve">ORD11061</t>
  </si>
  <si>
    <t xml:space="preserve">ORD11062</t>
  </si>
  <si>
    <t xml:space="preserve">ORD11063</t>
  </si>
  <si>
    <t xml:space="preserve">ORD11064</t>
  </si>
  <si>
    <t xml:space="preserve">ORD11065</t>
  </si>
  <si>
    <t xml:space="preserve">ORD11066</t>
  </si>
  <si>
    <t xml:space="preserve">ORD11067</t>
  </si>
  <si>
    <t xml:space="preserve">ORD11068</t>
  </si>
  <si>
    <t xml:space="preserve">ORD11069</t>
  </si>
  <si>
    <t xml:space="preserve">ORD11070</t>
  </si>
  <si>
    <t xml:space="preserve">ORD11071</t>
  </si>
  <si>
    <t xml:space="preserve">ORD11072</t>
  </si>
  <si>
    <t xml:space="preserve">ORD11073</t>
  </si>
  <si>
    <t xml:space="preserve">ORD11074</t>
  </si>
  <si>
    <t xml:space="preserve">ORD11075</t>
  </si>
  <si>
    <t xml:space="preserve">ORD11076</t>
  </si>
  <si>
    <t xml:space="preserve">ORD11077</t>
  </si>
  <si>
    <t xml:space="preserve">ORD11078</t>
  </si>
  <si>
    <t xml:space="preserve">ORD11079</t>
  </si>
  <si>
    <t xml:space="preserve">ORD11080</t>
  </si>
  <si>
    <t xml:space="preserve">ORD11081</t>
  </si>
  <si>
    <t xml:space="preserve">ORD11082</t>
  </si>
  <si>
    <t xml:space="preserve">ORD11083</t>
  </si>
  <si>
    <t xml:space="preserve">ORD11084</t>
  </si>
  <si>
    <t xml:space="preserve">ORD11085</t>
  </si>
  <si>
    <t xml:space="preserve">ORD11086</t>
  </si>
  <si>
    <t xml:space="preserve">ORD11087</t>
  </si>
  <si>
    <t xml:space="preserve">ORD11088</t>
  </si>
  <si>
    <t xml:space="preserve">ORD11089</t>
  </si>
  <si>
    <t xml:space="preserve">ORD11090</t>
  </si>
  <si>
    <t xml:space="preserve">ORD11091</t>
  </si>
  <si>
    <t xml:space="preserve">ORD11092</t>
  </si>
  <si>
    <t xml:space="preserve">ORD11093</t>
  </si>
  <si>
    <t xml:space="preserve">ORD11094</t>
  </si>
  <si>
    <t xml:space="preserve">ORD11095</t>
  </si>
  <si>
    <t xml:space="preserve">ORD11096</t>
  </si>
  <si>
    <t xml:space="preserve">ORD11097</t>
  </si>
  <si>
    <t xml:space="preserve">ORD11098</t>
  </si>
  <si>
    <t xml:space="preserve">ORD11099</t>
  </si>
  <si>
    <t xml:space="preserve">ORD11100</t>
  </si>
  <si>
    <t xml:space="preserve">ORD11101</t>
  </si>
  <si>
    <t xml:space="preserve">ORD11102</t>
  </si>
  <si>
    <t xml:space="preserve">ORD11103</t>
  </si>
  <si>
    <t xml:space="preserve">ORD11104</t>
  </si>
  <si>
    <t xml:space="preserve">ORD11105</t>
  </si>
  <si>
    <t xml:space="preserve">ORD11106</t>
  </si>
  <si>
    <t xml:space="preserve">ORD11107</t>
  </si>
  <si>
    <t xml:space="preserve">ORD11108</t>
  </si>
  <si>
    <t xml:space="preserve">ORD11109</t>
  </si>
  <si>
    <t xml:space="preserve">ORD11110</t>
  </si>
  <si>
    <t xml:space="preserve">ORD11111</t>
  </si>
  <si>
    <t xml:space="preserve">ORD11112</t>
  </si>
  <si>
    <t xml:space="preserve">ORD11113</t>
  </si>
  <si>
    <t xml:space="preserve">ORD11114</t>
  </si>
  <si>
    <t xml:space="preserve">ORD11115</t>
  </si>
  <si>
    <t xml:space="preserve">ORD11116</t>
  </si>
  <si>
    <t xml:space="preserve">ORD11117</t>
  </si>
  <si>
    <t xml:space="preserve">ORD11118</t>
  </si>
  <si>
    <t xml:space="preserve">ORD11119</t>
  </si>
  <si>
    <t xml:space="preserve">ORD11120</t>
  </si>
  <si>
    <t xml:space="preserve">ORD11121</t>
  </si>
  <si>
    <t xml:space="preserve">ORD11122</t>
  </si>
  <si>
    <t xml:space="preserve">ORD11123</t>
  </si>
  <si>
    <t xml:space="preserve">ORD11124</t>
  </si>
  <si>
    <t xml:space="preserve">ORD11125</t>
  </si>
  <si>
    <t xml:space="preserve">ORD11126</t>
  </si>
  <si>
    <t xml:space="preserve">ORD11127</t>
  </si>
  <si>
    <t xml:space="preserve">ORD11128</t>
  </si>
  <si>
    <t xml:space="preserve">ORD11129</t>
  </si>
  <si>
    <t xml:space="preserve">ORD11130</t>
  </si>
  <si>
    <t xml:space="preserve">ORD11131</t>
  </si>
  <si>
    <t xml:space="preserve">ORD11132</t>
  </si>
  <si>
    <t xml:space="preserve">ORD11133</t>
  </si>
  <si>
    <t xml:space="preserve">ORD11134</t>
  </si>
  <si>
    <t xml:space="preserve">ORD11135</t>
  </si>
  <si>
    <t xml:space="preserve">ORD11136</t>
  </si>
  <si>
    <t xml:space="preserve">ORD11137</t>
  </si>
  <si>
    <t xml:space="preserve">ORD11138</t>
  </si>
  <si>
    <t xml:space="preserve">ORD11139</t>
  </si>
  <si>
    <t xml:space="preserve">ORD11140</t>
  </si>
  <si>
    <t xml:space="preserve">ORD11141</t>
  </si>
  <si>
    <t xml:space="preserve">ORD11142</t>
  </si>
  <si>
    <t xml:space="preserve">ORD11143</t>
  </si>
  <si>
    <t xml:space="preserve">ORD11144</t>
  </si>
  <si>
    <t xml:space="preserve">ORD11145</t>
  </si>
  <si>
    <t xml:space="preserve">ORD11146</t>
  </si>
  <si>
    <t xml:space="preserve">ORD11147</t>
  </si>
  <si>
    <t xml:space="preserve">ORD11148</t>
  </si>
  <si>
    <t xml:space="preserve">ORD11149</t>
  </si>
  <si>
    <t xml:space="preserve">ORD11150</t>
  </si>
  <si>
    <t xml:space="preserve">ORD11151</t>
  </si>
  <si>
    <t xml:space="preserve">ORD11152</t>
  </si>
  <si>
    <t xml:space="preserve">ORD11153</t>
  </si>
  <si>
    <t xml:space="preserve">ORD11154</t>
  </si>
  <si>
    <t xml:space="preserve">ORD11155</t>
  </si>
  <si>
    <t xml:space="preserve">ORD11156</t>
  </si>
  <si>
    <t xml:space="preserve">ORD11157</t>
  </si>
  <si>
    <t xml:space="preserve">ORD11158</t>
  </si>
  <si>
    <t xml:space="preserve">ORD11159</t>
  </si>
  <si>
    <t xml:space="preserve">ORD11160</t>
  </si>
  <si>
    <t xml:space="preserve">ORD11161</t>
  </si>
  <si>
    <t xml:space="preserve">ORD11162</t>
  </si>
  <si>
    <t xml:space="preserve">ORD11163</t>
  </si>
  <si>
    <t xml:space="preserve">ORD11164</t>
  </si>
  <si>
    <t xml:space="preserve">ORD11165</t>
  </si>
  <si>
    <t xml:space="preserve">ORD11166</t>
  </si>
  <si>
    <t xml:space="preserve">ORD11167</t>
  </si>
  <si>
    <t xml:space="preserve">ORD11168</t>
  </si>
  <si>
    <t xml:space="preserve">ORD11169</t>
  </si>
  <si>
    <t xml:space="preserve">ORD11170</t>
  </si>
  <si>
    <t xml:space="preserve">ORD11171</t>
  </si>
  <si>
    <t xml:space="preserve">ORD11172</t>
  </si>
  <si>
    <t xml:space="preserve">ORD11173</t>
  </si>
  <si>
    <t xml:space="preserve">ORD11174</t>
  </si>
  <si>
    <t xml:space="preserve">ORD11175</t>
  </si>
  <si>
    <t xml:space="preserve">ORD11176</t>
  </si>
  <si>
    <t xml:space="preserve">ORD11177</t>
  </si>
  <si>
    <t xml:space="preserve">ORD11178</t>
  </si>
  <si>
    <t xml:space="preserve">ORD11179</t>
  </si>
  <si>
    <t xml:space="preserve">ORD11180</t>
  </si>
  <si>
    <t xml:space="preserve">ORD11181</t>
  </si>
  <si>
    <t xml:space="preserve">ORD11182</t>
  </si>
  <si>
    <t xml:space="preserve">ORD11183</t>
  </si>
  <si>
    <t xml:space="preserve">ORD11184</t>
  </si>
  <si>
    <t xml:space="preserve">ORD11185</t>
  </si>
  <si>
    <t xml:space="preserve">ORD11186</t>
  </si>
  <si>
    <t xml:space="preserve">ORD11187</t>
  </si>
  <si>
    <t xml:space="preserve">ORD11188</t>
  </si>
  <si>
    <t xml:space="preserve">ORD11189</t>
  </si>
  <si>
    <t xml:space="preserve">ORD11190</t>
  </si>
  <si>
    <t xml:space="preserve">ORD11191</t>
  </si>
  <si>
    <t xml:space="preserve">ORD11192</t>
  </si>
  <si>
    <t xml:space="preserve">ORD11193</t>
  </si>
  <si>
    <t xml:space="preserve">ORD11194</t>
  </si>
  <si>
    <t xml:space="preserve">ORD11195</t>
  </si>
  <si>
    <t xml:space="preserve">ORD11196</t>
  </si>
  <si>
    <t xml:space="preserve">ORD11197</t>
  </si>
  <si>
    <t xml:space="preserve">ORD11198</t>
  </si>
  <si>
    <t xml:space="preserve">ORD11199</t>
  </si>
  <si>
    <t xml:space="preserve">ORD11200</t>
  </si>
  <si>
    <t xml:space="preserve">About this workbook</t>
  </si>
  <si>
    <t xml:space="preserve">Purpose: Practice MIS reporting for an E-commerce / D2C business (daily, weekly and monthly reports).</t>
  </si>
  <si>
    <t xml:space="preserve">Data: SIMULATED sample data (1,200 orders, 01-Jul-2026 to 30-Sep-2026). Not real company data.</t>
  </si>
  <si>
    <t xml:space="preserve">Sheets:</t>
  </si>
  <si>
    <t xml:space="preserve">  Dashboard - KPI cards and 4 charts; Dashboard Data - tables behind the charts</t>
  </si>
  <si>
    <t xml:space="preserve">  Daily MIS - one row per day (92 days)</t>
  </si>
  <si>
    <t xml:space="preserve">  Weekly MIS - 14 weeks</t>
  </si>
  <si>
    <t xml:space="preserve">  Monthly MIS - Jul, Aug, Sep</t>
  </si>
  <si>
    <t xml:space="preserve">  Data - raw order data (blue font = input values, black = formulas)</t>
  </si>
  <si>
    <t xml:space="preserve">How to use with your own data: paste new rows in the Data sheet (columns A-K) and extend the formula ranges / dates in the MIS sheets.</t>
  </si>
  <si>
    <t xml:space="preserve">Definitions: Delivery % = Delivered / Orders; Return % = Returned / Orders; RTO = Return To Origin (courier could not deliver, mostly COD).</t>
  </si>
  <si>
    <t xml:space="preserve">Net Delivered Revenue = order value of orders with status Delivered only.</t>
  </si>
  <si>
    <t xml:space="preserve">Formulas used: COUNTIFS, SUMIFS, AVERAGE, IFERROR, EOMONTH.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</si>
</sst>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0.0"/>
    <numFmt numFmtId="169" formatCode="dd\-mmm\-yy"/>
    <numFmt numFmtId="170" formatCode="dd\-mmm\-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1F2F4A"/>
      <name val="Arial"/>
      <family val="0"/>
      <charset val="1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2F4A"/>
      </patternFill>
    </fill>
    <fill>
      <patternFill patternType="solid">
        <fgColor rgb="FFEEF1F5"/>
        <bgColor rgb="FFFFFFFF"/>
      </patternFill>
    </fill>
    <fill>
      <patternFill patternType="solid">
        <fgColor rgb="FF1F77D4"/>
        <bgColor rgb="FF1F5FBF"/>
      </patternFill>
    </fill>
    <fill>
      <patternFill patternType="solid">
        <fgColor rgb="FF2E9E4F"/>
        <bgColor rgb="FF008080"/>
      </patternFill>
    </fill>
    <fill>
      <patternFill patternType="solid">
        <fgColor rgb="FFF28E1C"/>
        <bgColor rgb="FFFF8080"/>
      </patternFill>
    </fill>
    <fill>
      <patternFill patternType="solid">
        <fgColor rgb="FFD9534F"/>
        <bgColor rgb="FFFF8080"/>
      </patternFill>
    </fill>
    <fill>
      <patternFill patternType="solid">
        <fgColor rgb="FFFFFFFF"/>
        <bgColor rgb="FFEEF1F5"/>
      </patternFill>
    </fill>
    <fill>
      <patternFill patternType="solid">
        <fgColor rgb="FFD9E2F3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>
        <color rgb="FFEEF1F5"/>
      </left>
      <right/>
      <top/>
      <bottom/>
      <diagonal/>
    </border>
    <border diagonalUp="false" diagonalDown="false">
      <left/>
      <right style="thick">
        <color rgb="FFEEF1F5"/>
      </right>
      <top/>
      <bottom/>
      <diagonal/>
    </border>
    <border diagonalUp="false" diagonalDown="false">
      <left style="thick">
        <color rgb="FFEEF1F5"/>
      </left>
      <right style="thick">
        <color rgb="FFEEF1F5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993366"/>
      <rgbColor rgb="FFEEF1F5"/>
      <rgbColor rgb="FFD9E2F3"/>
      <rgbColor rgb="FF660066"/>
      <rgbColor rgb="FFFF8080"/>
      <rgbColor rgb="FF1F5FB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77D4"/>
      <rgbColor rgb="FF33CCCC"/>
      <rgbColor rgb="FF99CC00"/>
      <rgbColor rgb="FFFFCC00"/>
      <rgbColor rgb="FFF28E1C"/>
      <rgbColor rgb="FFD9534F"/>
      <rgbColor rgb="FF595959"/>
      <rgbColor rgb="FF878787"/>
      <rgbColor rgb="FF1F3864"/>
      <rgbColor rgb="FF2E9E4F"/>
      <rgbColor rgb="FF003300"/>
      <rgbColor rgb="FF333300"/>
      <rgbColor rgb="FF993300"/>
      <rgbColor rgb="FF993366"/>
      <rgbColor rgb="FF333399"/>
      <rgbColor rgb="FF1F2F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'Daily MIS'!B4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f77d4"/>
            </a:solidFill>
            <a:ln w="19080">
              <a:solidFill>
                <a:srgbClr val="1f77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MIS'!$A$5:$A$96</c:f>
              <c:strCache>
                <c:ptCount val="92"/>
                <c:pt idx="0">
                  <c:v>01-Jul-26</c:v>
                </c:pt>
                <c:pt idx="1">
                  <c:v>02-Jul-26</c:v>
                </c:pt>
                <c:pt idx="2">
                  <c:v>03-Jul-26</c:v>
                </c:pt>
                <c:pt idx="3">
                  <c:v>04-Jul-26</c:v>
                </c:pt>
                <c:pt idx="4">
                  <c:v>05-Jul-26</c:v>
                </c:pt>
                <c:pt idx="5">
                  <c:v>06-Jul-26</c:v>
                </c:pt>
                <c:pt idx="6">
                  <c:v>07-Jul-26</c:v>
                </c:pt>
                <c:pt idx="7">
                  <c:v>08-Jul-26</c:v>
                </c:pt>
                <c:pt idx="8">
                  <c:v>09-Jul-26</c:v>
                </c:pt>
                <c:pt idx="9">
                  <c:v>10-Jul-26</c:v>
                </c:pt>
                <c:pt idx="10">
                  <c:v>11-Jul-26</c:v>
                </c:pt>
                <c:pt idx="11">
                  <c:v>12-Jul-26</c:v>
                </c:pt>
                <c:pt idx="12">
                  <c:v>13-Jul-26</c:v>
                </c:pt>
                <c:pt idx="13">
                  <c:v>14-Jul-26</c:v>
                </c:pt>
                <c:pt idx="14">
                  <c:v>15-Jul-26</c:v>
                </c:pt>
                <c:pt idx="15">
                  <c:v>16-Jul-26</c:v>
                </c:pt>
                <c:pt idx="16">
                  <c:v>17-Jul-26</c:v>
                </c:pt>
                <c:pt idx="17">
                  <c:v>18-Jul-26</c:v>
                </c:pt>
                <c:pt idx="18">
                  <c:v>19-Jul-26</c:v>
                </c:pt>
                <c:pt idx="19">
                  <c:v>20-Jul-26</c:v>
                </c:pt>
                <c:pt idx="20">
                  <c:v>21-Jul-26</c:v>
                </c:pt>
                <c:pt idx="21">
                  <c:v>22-Jul-26</c:v>
                </c:pt>
                <c:pt idx="22">
                  <c:v>23-Jul-26</c:v>
                </c:pt>
                <c:pt idx="23">
                  <c:v>24-Jul-26</c:v>
                </c:pt>
                <c:pt idx="24">
                  <c:v>25-Jul-26</c:v>
                </c:pt>
                <c:pt idx="25">
                  <c:v>26-Jul-26</c:v>
                </c:pt>
                <c:pt idx="26">
                  <c:v>27-Jul-26</c:v>
                </c:pt>
                <c:pt idx="27">
                  <c:v>28-Jul-26</c:v>
                </c:pt>
                <c:pt idx="28">
                  <c:v>29-Jul-26</c:v>
                </c:pt>
                <c:pt idx="29">
                  <c:v>30-Jul-26</c:v>
                </c:pt>
                <c:pt idx="30">
                  <c:v>31-Jul-26</c:v>
                </c:pt>
                <c:pt idx="31">
                  <c:v>01-Aug-26</c:v>
                </c:pt>
                <c:pt idx="32">
                  <c:v>02-Aug-26</c:v>
                </c:pt>
                <c:pt idx="33">
                  <c:v>03-Aug-26</c:v>
                </c:pt>
                <c:pt idx="34">
                  <c:v>04-Aug-26</c:v>
                </c:pt>
                <c:pt idx="35">
                  <c:v>05-Aug-26</c:v>
                </c:pt>
                <c:pt idx="36">
                  <c:v>06-Aug-26</c:v>
                </c:pt>
                <c:pt idx="37">
                  <c:v>07-Aug-26</c:v>
                </c:pt>
                <c:pt idx="38">
                  <c:v>08-Aug-26</c:v>
                </c:pt>
                <c:pt idx="39">
                  <c:v>09-Aug-26</c:v>
                </c:pt>
                <c:pt idx="40">
                  <c:v>10-Aug-26</c:v>
                </c:pt>
                <c:pt idx="41">
                  <c:v>11-Aug-26</c:v>
                </c:pt>
                <c:pt idx="42">
                  <c:v>12-Aug-26</c:v>
                </c:pt>
                <c:pt idx="43">
                  <c:v>13-Aug-26</c:v>
                </c:pt>
                <c:pt idx="44">
                  <c:v>14-Aug-26</c:v>
                </c:pt>
                <c:pt idx="45">
                  <c:v>15-Aug-26</c:v>
                </c:pt>
                <c:pt idx="46">
                  <c:v>16-Aug-26</c:v>
                </c:pt>
                <c:pt idx="47">
                  <c:v>17-Aug-26</c:v>
                </c:pt>
                <c:pt idx="48">
                  <c:v>18-Aug-26</c:v>
                </c:pt>
                <c:pt idx="49">
                  <c:v>19-Aug-26</c:v>
                </c:pt>
                <c:pt idx="50">
                  <c:v>20-Aug-26</c:v>
                </c:pt>
                <c:pt idx="51">
                  <c:v>21-Aug-26</c:v>
                </c:pt>
                <c:pt idx="52">
                  <c:v>22-Aug-26</c:v>
                </c:pt>
                <c:pt idx="53">
                  <c:v>23-Aug-26</c:v>
                </c:pt>
                <c:pt idx="54">
                  <c:v>24-Aug-26</c:v>
                </c:pt>
                <c:pt idx="55">
                  <c:v>25-Aug-26</c:v>
                </c:pt>
                <c:pt idx="56">
                  <c:v>26-Aug-26</c:v>
                </c:pt>
                <c:pt idx="57">
                  <c:v>27-Aug-26</c:v>
                </c:pt>
                <c:pt idx="58">
                  <c:v>28-Aug-26</c:v>
                </c:pt>
                <c:pt idx="59">
                  <c:v>29-Aug-26</c:v>
                </c:pt>
                <c:pt idx="60">
                  <c:v>30-Aug-26</c:v>
                </c:pt>
                <c:pt idx="61">
                  <c:v>31-Aug-26</c:v>
                </c:pt>
                <c:pt idx="62">
                  <c:v>01-Sep-26</c:v>
                </c:pt>
                <c:pt idx="63">
                  <c:v>02-Sep-26</c:v>
                </c:pt>
                <c:pt idx="64">
                  <c:v>03-Sep-26</c:v>
                </c:pt>
                <c:pt idx="65">
                  <c:v>04-Sep-26</c:v>
                </c:pt>
                <c:pt idx="66">
                  <c:v>05-Sep-26</c:v>
                </c:pt>
                <c:pt idx="67">
                  <c:v>06-Sep-26</c:v>
                </c:pt>
                <c:pt idx="68">
                  <c:v>07-Sep-26</c:v>
                </c:pt>
                <c:pt idx="69">
                  <c:v>08-Sep-26</c:v>
                </c:pt>
                <c:pt idx="70">
                  <c:v>09-Sep-26</c:v>
                </c:pt>
                <c:pt idx="71">
                  <c:v>10-Sep-26</c:v>
                </c:pt>
                <c:pt idx="72">
                  <c:v>11-Sep-26</c:v>
                </c:pt>
                <c:pt idx="73">
                  <c:v>12-Sep-26</c:v>
                </c:pt>
                <c:pt idx="74">
                  <c:v>13-Sep-26</c:v>
                </c:pt>
                <c:pt idx="75">
                  <c:v>14-Sep-26</c:v>
                </c:pt>
                <c:pt idx="76">
                  <c:v>15-Sep-26</c:v>
                </c:pt>
                <c:pt idx="77">
                  <c:v>16-Sep-26</c:v>
                </c:pt>
                <c:pt idx="78">
                  <c:v>17-Sep-26</c:v>
                </c:pt>
                <c:pt idx="79">
                  <c:v>18-Sep-26</c:v>
                </c:pt>
                <c:pt idx="80">
                  <c:v>19-Sep-26</c:v>
                </c:pt>
                <c:pt idx="81">
                  <c:v>20-Sep-26</c:v>
                </c:pt>
                <c:pt idx="82">
                  <c:v>21-Sep-26</c:v>
                </c:pt>
                <c:pt idx="83">
                  <c:v>22-Sep-26</c:v>
                </c:pt>
                <c:pt idx="84">
                  <c:v>23-Sep-26</c:v>
                </c:pt>
                <c:pt idx="85">
                  <c:v>24-Sep-26</c:v>
                </c:pt>
                <c:pt idx="86">
                  <c:v>25-Sep-26</c:v>
                </c:pt>
                <c:pt idx="87">
                  <c:v>26-Sep-26</c:v>
                </c:pt>
                <c:pt idx="88">
                  <c:v>27-Sep-26</c:v>
                </c:pt>
                <c:pt idx="89">
                  <c:v>28-Sep-26</c:v>
                </c:pt>
                <c:pt idx="90">
                  <c:v>29-Sep-26</c:v>
                </c:pt>
                <c:pt idx="91">
                  <c:v>30-Sep-26</c:v>
                </c:pt>
              </c:strCache>
            </c:strRef>
          </c:cat>
          <c:val>
            <c:numRef>
              <c:f>'Daily MIS'!$B$5:$B$96</c:f>
              <c:numCache>
                <c:formatCode>General</c:formatCode>
                <c:ptCount val="9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19</c:v>
                </c:pt>
                <c:pt idx="5">
                  <c:v>14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12</c:v>
                </c:pt>
                <c:pt idx="10">
                  <c:v>16</c:v>
                </c:pt>
                <c:pt idx="11">
                  <c:v>19</c:v>
                </c:pt>
                <c:pt idx="12">
                  <c:v>7</c:v>
                </c:pt>
                <c:pt idx="13">
                  <c:v>9</c:v>
                </c:pt>
                <c:pt idx="14">
                  <c:v>7</c:v>
                </c:pt>
                <c:pt idx="15">
                  <c:v>11</c:v>
                </c:pt>
                <c:pt idx="16">
                  <c:v>14</c:v>
                </c:pt>
                <c:pt idx="17">
                  <c:v>20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17</c:v>
                </c:pt>
                <c:pt idx="25">
                  <c:v>14</c:v>
                </c:pt>
                <c:pt idx="26">
                  <c:v>10</c:v>
                </c:pt>
                <c:pt idx="27">
                  <c:v>10</c:v>
                </c:pt>
                <c:pt idx="28">
                  <c:v>9</c:v>
                </c:pt>
                <c:pt idx="29">
                  <c:v>10</c:v>
                </c:pt>
                <c:pt idx="30">
                  <c:v>8</c:v>
                </c:pt>
                <c:pt idx="31">
                  <c:v>12</c:v>
                </c:pt>
                <c:pt idx="32">
                  <c:v>22</c:v>
                </c:pt>
                <c:pt idx="33">
                  <c:v>13</c:v>
                </c:pt>
                <c:pt idx="34">
                  <c:v>10</c:v>
                </c:pt>
                <c:pt idx="35">
                  <c:v>7</c:v>
                </c:pt>
                <c:pt idx="36">
                  <c:v>11</c:v>
                </c:pt>
                <c:pt idx="37">
                  <c:v>11</c:v>
                </c:pt>
                <c:pt idx="38">
                  <c:v>18</c:v>
                </c:pt>
                <c:pt idx="39">
                  <c:v>17</c:v>
                </c:pt>
                <c:pt idx="40">
                  <c:v>14</c:v>
                </c:pt>
                <c:pt idx="41">
                  <c:v>16</c:v>
                </c:pt>
                <c:pt idx="42">
                  <c:v>6</c:v>
                </c:pt>
                <c:pt idx="43">
                  <c:v>12</c:v>
                </c:pt>
                <c:pt idx="44">
                  <c:v>15</c:v>
                </c:pt>
                <c:pt idx="45">
                  <c:v>18</c:v>
                </c:pt>
                <c:pt idx="46">
                  <c:v>14</c:v>
                </c:pt>
                <c:pt idx="47">
                  <c:v>15</c:v>
                </c:pt>
                <c:pt idx="48">
                  <c:v>11</c:v>
                </c:pt>
                <c:pt idx="49">
                  <c:v>17</c:v>
                </c:pt>
                <c:pt idx="50">
                  <c:v>9</c:v>
                </c:pt>
                <c:pt idx="51">
                  <c:v>6</c:v>
                </c:pt>
                <c:pt idx="52">
                  <c:v>15</c:v>
                </c:pt>
                <c:pt idx="53">
                  <c:v>18</c:v>
                </c:pt>
                <c:pt idx="54">
                  <c:v>16</c:v>
                </c:pt>
                <c:pt idx="55">
                  <c:v>10</c:v>
                </c:pt>
                <c:pt idx="56">
                  <c:v>14</c:v>
                </c:pt>
                <c:pt idx="57">
                  <c:v>9</c:v>
                </c:pt>
                <c:pt idx="58">
                  <c:v>13</c:v>
                </c:pt>
                <c:pt idx="59">
                  <c:v>21</c:v>
                </c:pt>
                <c:pt idx="60">
                  <c:v>20</c:v>
                </c:pt>
                <c:pt idx="61">
                  <c:v>11</c:v>
                </c:pt>
                <c:pt idx="62">
                  <c:v>15</c:v>
                </c:pt>
                <c:pt idx="63">
                  <c:v>10</c:v>
                </c:pt>
                <c:pt idx="64">
                  <c:v>14</c:v>
                </c:pt>
                <c:pt idx="65">
                  <c:v>11</c:v>
                </c:pt>
                <c:pt idx="66">
                  <c:v>18</c:v>
                </c:pt>
                <c:pt idx="67">
                  <c:v>11</c:v>
                </c:pt>
                <c:pt idx="68">
                  <c:v>10</c:v>
                </c:pt>
                <c:pt idx="69">
                  <c:v>17</c:v>
                </c:pt>
                <c:pt idx="70">
                  <c:v>11</c:v>
                </c:pt>
                <c:pt idx="71">
                  <c:v>13</c:v>
                </c:pt>
                <c:pt idx="72">
                  <c:v>13</c:v>
                </c:pt>
                <c:pt idx="73">
                  <c:v>14</c:v>
                </c:pt>
                <c:pt idx="74">
                  <c:v>12</c:v>
                </c:pt>
                <c:pt idx="75">
                  <c:v>12</c:v>
                </c:pt>
                <c:pt idx="76">
                  <c:v>20</c:v>
                </c:pt>
                <c:pt idx="77">
                  <c:v>11</c:v>
                </c:pt>
                <c:pt idx="78">
                  <c:v>11</c:v>
                </c:pt>
                <c:pt idx="79">
                  <c:v>14</c:v>
                </c:pt>
                <c:pt idx="80">
                  <c:v>20</c:v>
                </c:pt>
                <c:pt idx="81">
                  <c:v>16</c:v>
                </c:pt>
                <c:pt idx="82">
                  <c:v>11</c:v>
                </c:pt>
                <c:pt idx="83">
                  <c:v>13</c:v>
                </c:pt>
                <c:pt idx="84">
                  <c:v>14</c:v>
                </c:pt>
                <c:pt idx="85">
                  <c:v>16</c:v>
                </c:pt>
                <c:pt idx="86">
                  <c:v>15</c:v>
                </c:pt>
                <c:pt idx="87">
                  <c:v>18</c:v>
                </c:pt>
                <c:pt idx="88">
                  <c:v>16</c:v>
                </c:pt>
                <c:pt idx="89">
                  <c:v>17</c:v>
                </c:pt>
                <c:pt idx="90">
                  <c:v>14</c:v>
                </c:pt>
                <c:pt idx="91">
                  <c:v>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695703"/>
        <c:axId val="99678944"/>
      </c:lineChart>
      <c:catAx>
        <c:axId val="75695703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78944"/>
        <c:crosses val="autoZero"/>
        <c:auto val="1"/>
        <c:lblAlgn val="ctr"/>
        <c:lblOffset val="100"/>
        <c:noMultiLvlLbl val="0"/>
      </c:catAx>
      <c:valAx>
        <c:axId val="9967894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957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Data'!C12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1f5fb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Data'!$A$13:$A$17</c:f>
              <c:strCache>
                <c:ptCount val="5"/>
                <c:pt idx="0">
                  <c:v>Skincare</c:v>
                </c:pt>
                <c:pt idx="1">
                  <c:v>Haircare</c:v>
                </c:pt>
                <c:pt idx="2">
                  <c:v>Bath &amp; Body</c:v>
                </c:pt>
                <c:pt idx="3">
                  <c:v>Makeup</c:v>
                </c:pt>
                <c:pt idx="4">
                  <c:v>Wellness</c:v>
                </c:pt>
              </c:strCache>
            </c:strRef>
          </c:cat>
          <c:val>
            <c:numRef>
              <c:f>'Dashboard Data'!$C$13:$C$17</c:f>
              <c:numCache>
                <c:formatCode>#,##0</c:formatCode>
                <c:ptCount val="5"/>
                <c:pt idx="0">
                  <c:v>310926</c:v>
                </c:pt>
                <c:pt idx="1">
                  <c:v>195228</c:v>
                </c:pt>
                <c:pt idx="2">
                  <c:v>130148</c:v>
                </c:pt>
                <c:pt idx="3">
                  <c:v>185124</c:v>
                </c:pt>
                <c:pt idx="4">
                  <c:v>161290</c:v>
                </c:pt>
              </c:numCache>
            </c:numRef>
          </c:val>
        </c:ser>
        <c:gapWidth val="60"/>
        <c:overlap val="0"/>
        <c:axId val="99601151"/>
        <c:axId val="30817448"/>
      </c:barChart>
      <c:catAx>
        <c:axId val="996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17448"/>
        <c:crosses val="autoZero"/>
        <c:auto val="1"/>
        <c:lblAlgn val="ctr"/>
        <c:lblOffset val="100"/>
        <c:noMultiLvlLbl val="0"/>
      </c:catAx>
      <c:valAx>
        <c:axId val="30817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01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'Dashboard Data'!G17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9e4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28e1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f7f7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9534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'Dashboard Data'!$F$18:$F$21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RTO</c:v>
                </c:pt>
              </c:strCache>
            </c:strRef>
          </c:cat>
          <c:val>
            <c:numRef>
              <c:f>'Dashboard Data'!$G$18:$G$21</c:f>
              <c:numCache>
                <c:formatCode>General</c:formatCode>
                <c:ptCount val="4"/>
                <c:pt idx="0">
                  <c:v>986</c:v>
                </c:pt>
                <c:pt idx="1">
                  <c:v>89</c:v>
                </c:pt>
                <c:pt idx="2">
                  <c:v>48</c:v>
                </c:pt>
                <c:pt idx="3">
                  <c:v>77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Data'!H12</c:f>
              <c:strCache>
                <c:ptCount val="1"/>
                <c:pt idx="0">
                  <c:v>Delivery %</c:v>
                </c:pt>
              </c:strCache>
            </c:strRef>
          </c:tx>
          <c:spPr>
            <a:solidFill>
              <a:srgbClr val="2e9e4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Data'!$F$13:$F$14</c:f>
              <c:strCache>
                <c:ptCount val="2"/>
                <c:pt idx="0">
                  <c:v>Prepaid</c:v>
                </c:pt>
                <c:pt idx="1">
                  <c:v>COD</c:v>
                </c:pt>
              </c:strCache>
            </c:strRef>
          </c:cat>
          <c:val>
            <c:numRef>
              <c:f>'Dashboard Data'!$H$13:$H$14</c:f>
              <c:numCache>
                <c:formatCode>0.0%</c:formatCode>
                <c:ptCount val="2"/>
                <c:pt idx="0">
                  <c:v>0.887381275440977</c:v>
                </c:pt>
                <c:pt idx="1">
                  <c:v>0.717062634989201</c:v>
                </c:pt>
              </c:numCache>
            </c:numRef>
          </c:val>
        </c:ser>
        <c:ser>
          <c:idx val="1"/>
          <c:order val="1"/>
          <c:tx>
            <c:strRef>
              <c:f>'Dashboard Data'!I12</c:f>
              <c:strCache>
                <c:ptCount val="1"/>
                <c:pt idx="0">
                  <c:v>RTO %</c:v>
                </c:pt>
              </c:strCache>
            </c:strRef>
          </c:tx>
          <c:spPr>
            <a:solidFill>
              <a:srgbClr val="d9534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Data'!$F$13:$F$14</c:f>
              <c:strCache>
                <c:ptCount val="2"/>
                <c:pt idx="0">
                  <c:v>Prepaid</c:v>
                </c:pt>
                <c:pt idx="1">
                  <c:v>COD</c:v>
                </c:pt>
              </c:strCache>
            </c:strRef>
          </c:cat>
          <c:val>
            <c:numRef>
              <c:f>'Dashboard Data'!$I$13:$I$14</c:f>
              <c:numCache>
                <c:formatCode>0.0%</c:formatCode>
                <c:ptCount val="2"/>
                <c:pt idx="0">
                  <c:v>0.00814111261872456</c:v>
                </c:pt>
                <c:pt idx="1">
                  <c:v>0.153347732181425</c:v>
                </c:pt>
              </c:numCache>
            </c:numRef>
          </c:val>
        </c:ser>
        <c:gapWidth val="60"/>
        <c:overlap val="0"/>
        <c:axId val="47146438"/>
        <c:axId val="62992906"/>
      </c:barChart>
      <c:catAx>
        <c:axId val="47146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92906"/>
        <c:crosses val="autoZero"/>
        <c:auto val="1"/>
        <c:lblAlgn val="ctr"/>
        <c:lblOffset val="100"/>
        <c:noMultiLvlLbl val="0"/>
      </c:catAx>
      <c:valAx>
        <c:axId val="629929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46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9</xdr:col>
      <xdr:colOff>49680</xdr:colOff>
      <xdr:row>27</xdr:row>
      <xdr:rowOff>73080</xdr:rowOff>
    </xdr:to>
    <xdr:graphicFrame>
      <xdr:nvGraphicFramePr>
        <xdr:cNvPr id="0" name="Chart 1"/>
        <xdr:cNvGraphicFramePr/>
      </xdr:nvGraphicFramePr>
      <xdr:xfrm>
        <a:off x="0" y="183816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18</xdr:col>
      <xdr:colOff>50040</xdr:colOff>
      <xdr:row>27</xdr:row>
      <xdr:rowOff>73080</xdr:rowOff>
    </xdr:to>
    <xdr:graphicFrame>
      <xdr:nvGraphicFramePr>
        <xdr:cNvPr id="1" name="Chart 2"/>
        <xdr:cNvGraphicFramePr/>
      </xdr:nvGraphicFramePr>
      <xdr:xfrm>
        <a:off x="5457960" y="183816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9</xdr:col>
      <xdr:colOff>49680</xdr:colOff>
      <xdr:row>47</xdr:row>
      <xdr:rowOff>73080</xdr:rowOff>
    </xdr:to>
    <xdr:graphicFrame>
      <xdr:nvGraphicFramePr>
        <xdr:cNvPr id="2" name="Chart 3"/>
        <xdr:cNvGraphicFramePr/>
      </xdr:nvGraphicFramePr>
      <xdr:xfrm>
        <a:off x="0" y="564840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18</xdr:col>
      <xdr:colOff>50040</xdr:colOff>
      <xdr:row>47</xdr:row>
      <xdr:rowOff>73080</xdr:rowOff>
    </xdr:to>
    <xdr:graphicFrame>
      <xdr:nvGraphicFramePr>
        <xdr:cNvPr id="3" name="Chart 4"/>
        <xdr:cNvGraphicFramePr/>
      </xdr:nvGraphicFramePr>
      <xdr:xfrm>
        <a:off x="5457960" y="5648400"/>
        <a:ext cx="5507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8.61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3.75" hidden="false" customHeight="true" outlineLevel="0" collapsed="false">
      <c r="A5" s="4"/>
      <c r="B5" s="5"/>
      <c r="C5" s="6"/>
      <c r="D5" s="7"/>
      <c r="E5" s="8"/>
      <c r="F5" s="9"/>
      <c r="G5" s="10"/>
      <c r="H5" s="11"/>
      <c r="I5" s="12"/>
      <c r="J5" s="7"/>
      <c r="K5" s="8"/>
      <c r="L5" s="9"/>
      <c r="M5" s="10"/>
      <c r="N5" s="11"/>
      <c r="O5" s="12"/>
      <c r="P5" s="13"/>
      <c r="Q5" s="14"/>
      <c r="R5" s="15"/>
    </row>
    <row r="6" customFormat="false" ht="15" hidden="false" customHeight="false" outlineLevel="0" collapsed="false">
      <c r="A6" s="16" t="s">
        <v>2</v>
      </c>
      <c r="B6" s="16"/>
      <c r="C6" s="16"/>
      <c r="D6" s="16" t="s">
        <v>3</v>
      </c>
      <c r="E6" s="16"/>
      <c r="F6" s="16"/>
      <c r="G6" s="16" t="s">
        <v>4</v>
      </c>
      <c r="H6" s="16"/>
      <c r="I6" s="16"/>
      <c r="J6" s="16" t="s">
        <v>5</v>
      </c>
      <c r="K6" s="16"/>
      <c r="L6" s="16"/>
      <c r="M6" s="16" t="s">
        <v>6</v>
      </c>
      <c r="N6" s="16"/>
      <c r="O6" s="16"/>
      <c r="P6" s="16" t="s">
        <v>7</v>
      </c>
      <c r="Q6" s="16"/>
      <c r="R6" s="16"/>
    </row>
    <row r="7" customFormat="false" ht="15" hidden="false" customHeight="false" outlineLevel="0" collapsed="false">
      <c r="A7" s="17" t="n">
        <f aca="false">'Dashboard Data'!A5</f>
        <v>1200</v>
      </c>
      <c r="B7" s="17"/>
      <c r="C7" s="17"/>
      <c r="D7" s="17" t="n">
        <f aca="false">'Dashboard Data'!B5</f>
        <v>982716</v>
      </c>
      <c r="E7" s="17"/>
      <c r="F7" s="17"/>
      <c r="G7" s="17" t="n">
        <f aca="false">'Dashboard Data'!D5</f>
        <v>818.93</v>
      </c>
      <c r="H7" s="17"/>
      <c r="I7" s="17"/>
      <c r="J7" s="18" t="n">
        <f aca="false">'Dashboard Data'!A8</f>
        <v>0.821666666666667</v>
      </c>
      <c r="K7" s="18"/>
      <c r="L7" s="18"/>
      <c r="M7" s="18" t="n">
        <f aca="false">'Dashboard Data'!B8</f>
        <v>0.0741666666666667</v>
      </c>
      <c r="N7" s="18"/>
      <c r="O7" s="18"/>
      <c r="P7" s="18" t="n">
        <f aca="false">'Dashboard Data'!D8</f>
        <v>0.0641666666666667</v>
      </c>
      <c r="Q7" s="18"/>
      <c r="R7" s="18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8"/>
      <c r="K8" s="18"/>
      <c r="L8" s="18"/>
      <c r="M8" s="18"/>
      <c r="N8" s="18"/>
      <c r="O8" s="18"/>
      <c r="P8" s="18"/>
      <c r="Q8" s="18"/>
      <c r="R8" s="18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5" hidden="false" customHeight="false" outlineLevel="0" collapsed="false">
      <c r="A10" s="19" t="s">
        <v>8</v>
      </c>
      <c r="B10" s="20"/>
      <c r="C10" s="20"/>
      <c r="D10" s="20"/>
      <c r="E10" s="20"/>
      <c r="F10" s="20"/>
      <c r="G10" s="20"/>
      <c r="H10" s="20"/>
      <c r="I10" s="21"/>
      <c r="J10" s="19" t="s">
        <v>9</v>
      </c>
      <c r="K10" s="20"/>
      <c r="L10" s="20"/>
      <c r="M10" s="20"/>
      <c r="N10" s="20"/>
      <c r="O10" s="20"/>
      <c r="P10" s="20"/>
      <c r="Q10" s="20"/>
      <c r="R10" s="21"/>
    </row>
    <row r="11" customFormat="false" ht="15" hidden="false" customHeight="false" outlineLevel="0" collapsed="false">
      <c r="A11" s="22"/>
      <c r="B11" s="20"/>
      <c r="C11" s="20"/>
      <c r="D11" s="20"/>
      <c r="E11" s="20"/>
      <c r="F11" s="20"/>
      <c r="G11" s="20"/>
      <c r="H11" s="20"/>
      <c r="I11" s="21"/>
      <c r="J11" s="22"/>
      <c r="K11" s="20"/>
      <c r="L11" s="20"/>
      <c r="M11" s="20"/>
      <c r="N11" s="20"/>
      <c r="O11" s="20"/>
      <c r="P11" s="20"/>
      <c r="Q11" s="20"/>
      <c r="R11" s="21"/>
    </row>
    <row r="12" customFormat="false" ht="15" hidden="false" customHeight="false" outlineLevel="0" collapsed="false">
      <c r="A12" s="22"/>
      <c r="B12" s="20"/>
      <c r="C12" s="20"/>
      <c r="D12" s="20"/>
      <c r="E12" s="20"/>
      <c r="F12" s="20"/>
      <c r="G12" s="20"/>
      <c r="H12" s="20"/>
      <c r="I12" s="21"/>
      <c r="J12" s="22"/>
      <c r="K12" s="20"/>
      <c r="L12" s="20"/>
      <c r="M12" s="20"/>
      <c r="N12" s="20"/>
      <c r="O12" s="20"/>
      <c r="P12" s="20"/>
      <c r="Q12" s="20"/>
      <c r="R12" s="21"/>
    </row>
    <row r="13" customFormat="false" ht="15" hidden="false" customHeight="false" outlineLevel="0" collapsed="false">
      <c r="A13" s="22"/>
      <c r="B13" s="20"/>
      <c r="C13" s="20"/>
      <c r="D13" s="20"/>
      <c r="E13" s="20"/>
      <c r="F13" s="20"/>
      <c r="G13" s="20"/>
      <c r="H13" s="20"/>
      <c r="I13" s="21"/>
      <c r="J13" s="22"/>
      <c r="K13" s="20"/>
      <c r="L13" s="20"/>
      <c r="M13" s="20"/>
      <c r="N13" s="20"/>
      <c r="O13" s="20"/>
      <c r="P13" s="20"/>
      <c r="Q13" s="20"/>
      <c r="R13" s="21"/>
    </row>
    <row r="14" customFormat="false" ht="15" hidden="false" customHeight="false" outlineLevel="0" collapsed="false">
      <c r="A14" s="22"/>
      <c r="B14" s="20"/>
      <c r="C14" s="20"/>
      <c r="D14" s="20"/>
      <c r="E14" s="20"/>
      <c r="F14" s="20"/>
      <c r="G14" s="20"/>
      <c r="H14" s="20"/>
      <c r="I14" s="21"/>
      <c r="J14" s="22"/>
      <c r="K14" s="20"/>
      <c r="L14" s="20"/>
      <c r="M14" s="20"/>
      <c r="N14" s="20"/>
      <c r="O14" s="20"/>
      <c r="P14" s="20"/>
      <c r="Q14" s="20"/>
      <c r="R14" s="21"/>
    </row>
    <row r="15" customFormat="false" ht="15" hidden="false" customHeight="false" outlineLevel="0" collapsed="false">
      <c r="A15" s="22"/>
      <c r="B15" s="20"/>
      <c r="C15" s="20"/>
      <c r="D15" s="20"/>
      <c r="E15" s="20"/>
      <c r="F15" s="20"/>
      <c r="G15" s="20"/>
      <c r="H15" s="20"/>
      <c r="I15" s="21"/>
      <c r="J15" s="22"/>
      <c r="K15" s="20"/>
      <c r="L15" s="20"/>
      <c r="M15" s="20"/>
      <c r="N15" s="20"/>
      <c r="O15" s="20"/>
      <c r="P15" s="20"/>
      <c r="Q15" s="20"/>
      <c r="R15" s="21"/>
    </row>
    <row r="16" customFormat="false" ht="15" hidden="false" customHeight="false" outlineLevel="0" collapsed="false">
      <c r="A16" s="22"/>
      <c r="B16" s="20"/>
      <c r="C16" s="20"/>
      <c r="D16" s="20"/>
      <c r="E16" s="20"/>
      <c r="F16" s="20"/>
      <c r="G16" s="20"/>
      <c r="H16" s="20"/>
      <c r="I16" s="21"/>
      <c r="J16" s="22"/>
      <c r="K16" s="20"/>
      <c r="L16" s="20"/>
      <c r="M16" s="20"/>
      <c r="N16" s="20"/>
      <c r="O16" s="20"/>
      <c r="P16" s="20"/>
      <c r="Q16" s="20"/>
      <c r="R16" s="21"/>
    </row>
    <row r="17" customFormat="false" ht="15" hidden="false" customHeight="false" outlineLevel="0" collapsed="false">
      <c r="A17" s="22"/>
      <c r="B17" s="20"/>
      <c r="C17" s="20"/>
      <c r="D17" s="20"/>
      <c r="E17" s="20"/>
      <c r="F17" s="20"/>
      <c r="G17" s="20"/>
      <c r="H17" s="20"/>
      <c r="I17" s="21"/>
      <c r="J17" s="22"/>
      <c r="K17" s="20"/>
      <c r="L17" s="20"/>
      <c r="M17" s="20"/>
      <c r="N17" s="20"/>
      <c r="O17" s="20"/>
      <c r="P17" s="20"/>
      <c r="Q17" s="20"/>
      <c r="R17" s="21"/>
    </row>
    <row r="18" customFormat="false" ht="15" hidden="false" customHeight="false" outlineLevel="0" collapsed="false">
      <c r="A18" s="22"/>
      <c r="B18" s="20"/>
      <c r="C18" s="20"/>
      <c r="D18" s="20"/>
      <c r="E18" s="20"/>
      <c r="F18" s="20"/>
      <c r="G18" s="20"/>
      <c r="H18" s="20"/>
      <c r="I18" s="21"/>
      <c r="J18" s="22"/>
      <c r="K18" s="20"/>
      <c r="L18" s="20"/>
      <c r="M18" s="20"/>
      <c r="N18" s="20"/>
      <c r="O18" s="20"/>
      <c r="P18" s="20"/>
      <c r="Q18" s="20"/>
      <c r="R18" s="21"/>
    </row>
    <row r="19" customFormat="false" ht="15" hidden="false" customHeight="false" outlineLevel="0" collapsed="false">
      <c r="A19" s="22"/>
      <c r="B19" s="20"/>
      <c r="C19" s="20"/>
      <c r="D19" s="20"/>
      <c r="E19" s="20"/>
      <c r="F19" s="20"/>
      <c r="G19" s="20"/>
      <c r="H19" s="20"/>
      <c r="I19" s="21"/>
      <c r="J19" s="22"/>
      <c r="K19" s="20"/>
      <c r="L19" s="20"/>
      <c r="M19" s="20"/>
      <c r="N19" s="20"/>
      <c r="O19" s="20"/>
      <c r="P19" s="20"/>
      <c r="Q19" s="20"/>
      <c r="R19" s="21"/>
    </row>
    <row r="20" customFormat="false" ht="15" hidden="false" customHeight="false" outlineLevel="0" collapsed="false">
      <c r="A20" s="22"/>
      <c r="B20" s="20"/>
      <c r="C20" s="20"/>
      <c r="D20" s="20"/>
      <c r="E20" s="20"/>
      <c r="F20" s="20"/>
      <c r="G20" s="20"/>
      <c r="H20" s="20"/>
      <c r="I20" s="21"/>
      <c r="J20" s="22"/>
      <c r="K20" s="20"/>
      <c r="L20" s="20"/>
      <c r="M20" s="20"/>
      <c r="N20" s="20"/>
      <c r="O20" s="20"/>
      <c r="P20" s="20"/>
      <c r="Q20" s="20"/>
      <c r="R20" s="21"/>
    </row>
    <row r="21" customFormat="false" ht="15" hidden="false" customHeight="false" outlineLevel="0" collapsed="false">
      <c r="A21" s="22"/>
      <c r="B21" s="20"/>
      <c r="C21" s="20"/>
      <c r="D21" s="20"/>
      <c r="E21" s="20"/>
      <c r="F21" s="20"/>
      <c r="G21" s="20"/>
      <c r="H21" s="20"/>
      <c r="I21" s="21"/>
      <c r="J21" s="22"/>
      <c r="K21" s="20"/>
      <c r="L21" s="20"/>
      <c r="M21" s="20"/>
      <c r="N21" s="20"/>
      <c r="O21" s="20"/>
      <c r="P21" s="20"/>
      <c r="Q21" s="20"/>
      <c r="R21" s="21"/>
    </row>
    <row r="22" customFormat="false" ht="15" hidden="false" customHeight="false" outlineLevel="0" collapsed="false">
      <c r="A22" s="22"/>
      <c r="B22" s="20"/>
      <c r="C22" s="20"/>
      <c r="D22" s="20"/>
      <c r="E22" s="20"/>
      <c r="F22" s="20"/>
      <c r="G22" s="20"/>
      <c r="H22" s="20"/>
      <c r="I22" s="21"/>
      <c r="J22" s="22"/>
      <c r="K22" s="20"/>
      <c r="L22" s="20"/>
      <c r="M22" s="20"/>
      <c r="N22" s="20"/>
      <c r="O22" s="20"/>
      <c r="P22" s="20"/>
      <c r="Q22" s="20"/>
      <c r="R22" s="21"/>
    </row>
    <row r="23" customFormat="false" ht="15" hidden="false" customHeight="false" outlineLevel="0" collapsed="false">
      <c r="A23" s="22"/>
      <c r="B23" s="20"/>
      <c r="C23" s="20"/>
      <c r="D23" s="20"/>
      <c r="E23" s="20"/>
      <c r="F23" s="20"/>
      <c r="G23" s="20"/>
      <c r="H23" s="20"/>
      <c r="I23" s="21"/>
      <c r="J23" s="22"/>
      <c r="K23" s="20"/>
      <c r="L23" s="20"/>
      <c r="M23" s="20"/>
      <c r="N23" s="20"/>
      <c r="O23" s="20"/>
      <c r="P23" s="20"/>
      <c r="Q23" s="20"/>
      <c r="R23" s="21"/>
    </row>
    <row r="24" customFormat="false" ht="15" hidden="false" customHeight="false" outlineLevel="0" collapsed="false">
      <c r="A24" s="22"/>
      <c r="B24" s="20"/>
      <c r="C24" s="20"/>
      <c r="D24" s="20"/>
      <c r="E24" s="20"/>
      <c r="F24" s="20"/>
      <c r="G24" s="20"/>
      <c r="H24" s="20"/>
      <c r="I24" s="21"/>
      <c r="J24" s="22"/>
      <c r="K24" s="20"/>
      <c r="L24" s="20"/>
      <c r="M24" s="20"/>
      <c r="N24" s="20"/>
      <c r="O24" s="20"/>
      <c r="P24" s="20"/>
      <c r="Q24" s="20"/>
      <c r="R24" s="21"/>
    </row>
    <row r="25" customFormat="false" ht="15" hidden="false" customHeight="false" outlineLevel="0" collapsed="false">
      <c r="A25" s="22"/>
      <c r="B25" s="20"/>
      <c r="C25" s="20"/>
      <c r="D25" s="20"/>
      <c r="E25" s="20"/>
      <c r="F25" s="20"/>
      <c r="G25" s="20"/>
      <c r="H25" s="20"/>
      <c r="I25" s="21"/>
      <c r="J25" s="22"/>
      <c r="K25" s="20"/>
      <c r="L25" s="20"/>
      <c r="M25" s="20"/>
      <c r="N25" s="20"/>
      <c r="O25" s="20"/>
      <c r="P25" s="20"/>
      <c r="Q25" s="20"/>
      <c r="R25" s="21"/>
    </row>
    <row r="26" customFormat="false" ht="15" hidden="false" customHeight="false" outlineLevel="0" collapsed="false">
      <c r="A26" s="22"/>
      <c r="B26" s="20"/>
      <c r="C26" s="20"/>
      <c r="D26" s="20"/>
      <c r="E26" s="20"/>
      <c r="F26" s="20"/>
      <c r="G26" s="20"/>
      <c r="H26" s="20"/>
      <c r="I26" s="21"/>
      <c r="J26" s="22"/>
      <c r="K26" s="20"/>
      <c r="L26" s="20"/>
      <c r="M26" s="20"/>
      <c r="N26" s="20"/>
      <c r="O26" s="20"/>
      <c r="P26" s="20"/>
      <c r="Q26" s="20"/>
      <c r="R26" s="21"/>
    </row>
    <row r="27" customFormat="false" ht="15" hidden="false" customHeight="false" outlineLevel="0" collapsed="false">
      <c r="A27" s="22"/>
      <c r="B27" s="20"/>
      <c r="C27" s="20"/>
      <c r="D27" s="20"/>
      <c r="E27" s="20"/>
      <c r="F27" s="20"/>
      <c r="G27" s="20"/>
      <c r="H27" s="20"/>
      <c r="I27" s="21"/>
      <c r="J27" s="22"/>
      <c r="K27" s="20"/>
      <c r="L27" s="20"/>
      <c r="M27" s="20"/>
      <c r="N27" s="20"/>
      <c r="O27" s="20"/>
      <c r="P27" s="20"/>
      <c r="Q27" s="20"/>
      <c r="R27" s="21"/>
    </row>
    <row r="28" customFormat="false" ht="15" hidden="false" customHeight="false" outlineLevel="0" collapsed="false">
      <c r="A28" s="22"/>
      <c r="B28" s="20"/>
      <c r="C28" s="20"/>
      <c r="D28" s="20"/>
      <c r="E28" s="20"/>
      <c r="F28" s="20"/>
      <c r="G28" s="20"/>
      <c r="H28" s="20"/>
      <c r="I28" s="21"/>
      <c r="J28" s="22"/>
      <c r="K28" s="20"/>
      <c r="L28" s="20"/>
      <c r="M28" s="20"/>
      <c r="N28" s="20"/>
      <c r="O28" s="20"/>
      <c r="P28" s="20"/>
      <c r="Q28" s="20"/>
      <c r="R28" s="21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false" outlineLevel="0" collapsed="false">
      <c r="A30" s="19" t="s">
        <v>10</v>
      </c>
      <c r="B30" s="20"/>
      <c r="C30" s="20"/>
      <c r="D30" s="20"/>
      <c r="E30" s="20"/>
      <c r="F30" s="20"/>
      <c r="G30" s="20"/>
      <c r="H30" s="20"/>
      <c r="I30" s="21"/>
      <c r="J30" s="19" t="s">
        <v>11</v>
      </c>
      <c r="K30" s="20"/>
      <c r="L30" s="20"/>
      <c r="M30" s="20"/>
      <c r="N30" s="20"/>
      <c r="O30" s="20"/>
      <c r="P30" s="20"/>
      <c r="Q30" s="20"/>
      <c r="R30" s="21"/>
    </row>
    <row r="31" customFormat="false" ht="15" hidden="false" customHeight="false" outlineLevel="0" collapsed="false">
      <c r="A31" s="22"/>
      <c r="B31" s="20"/>
      <c r="C31" s="20"/>
      <c r="D31" s="20"/>
      <c r="E31" s="20"/>
      <c r="F31" s="20"/>
      <c r="G31" s="20"/>
      <c r="H31" s="20"/>
      <c r="I31" s="21"/>
      <c r="J31" s="22"/>
      <c r="K31" s="20"/>
      <c r="L31" s="20"/>
      <c r="M31" s="20"/>
      <c r="N31" s="20"/>
      <c r="O31" s="20"/>
      <c r="P31" s="20"/>
      <c r="Q31" s="20"/>
      <c r="R31" s="21"/>
    </row>
    <row r="32" customFormat="false" ht="15" hidden="false" customHeight="false" outlineLevel="0" collapsed="false">
      <c r="A32" s="22"/>
      <c r="B32" s="20"/>
      <c r="C32" s="20"/>
      <c r="D32" s="20"/>
      <c r="E32" s="20"/>
      <c r="F32" s="20"/>
      <c r="G32" s="20"/>
      <c r="H32" s="20"/>
      <c r="I32" s="21"/>
      <c r="J32" s="22"/>
      <c r="K32" s="20"/>
      <c r="L32" s="20"/>
      <c r="M32" s="20"/>
      <c r="N32" s="20"/>
      <c r="O32" s="20"/>
      <c r="P32" s="20"/>
      <c r="Q32" s="20"/>
      <c r="R32" s="21"/>
    </row>
    <row r="33" customFormat="false" ht="15" hidden="false" customHeight="false" outlineLevel="0" collapsed="false">
      <c r="A33" s="22"/>
      <c r="B33" s="20"/>
      <c r="C33" s="20"/>
      <c r="D33" s="20"/>
      <c r="E33" s="20"/>
      <c r="F33" s="20"/>
      <c r="G33" s="20"/>
      <c r="H33" s="20"/>
      <c r="I33" s="21"/>
      <c r="J33" s="22"/>
      <c r="K33" s="20"/>
      <c r="L33" s="20"/>
      <c r="M33" s="20"/>
      <c r="N33" s="20"/>
      <c r="O33" s="20"/>
      <c r="P33" s="20"/>
      <c r="Q33" s="20"/>
      <c r="R33" s="21"/>
    </row>
    <row r="34" customFormat="false" ht="15" hidden="false" customHeight="false" outlineLevel="0" collapsed="false">
      <c r="A34" s="22"/>
      <c r="B34" s="20"/>
      <c r="C34" s="20"/>
      <c r="D34" s="20"/>
      <c r="E34" s="20"/>
      <c r="F34" s="20"/>
      <c r="G34" s="20"/>
      <c r="H34" s="20"/>
      <c r="I34" s="21"/>
      <c r="J34" s="22"/>
      <c r="K34" s="20"/>
      <c r="L34" s="20"/>
      <c r="M34" s="20"/>
      <c r="N34" s="20"/>
      <c r="O34" s="20"/>
      <c r="P34" s="20"/>
      <c r="Q34" s="20"/>
      <c r="R34" s="21"/>
    </row>
    <row r="35" customFormat="false" ht="15" hidden="false" customHeight="false" outlineLevel="0" collapsed="false">
      <c r="A35" s="22"/>
      <c r="B35" s="20"/>
      <c r="C35" s="20"/>
      <c r="D35" s="20"/>
      <c r="E35" s="20"/>
      <c r="F35" s="20"/>
      <c r="G35" s="20"/>
      <c r="H35" s="20"/>
      <c r="I35" s="21"/>
      <c r="J35" s="22"/>
      <c r="K35" s="20"/>
      <c r="L35" s="20"/>
      <c r="M35" s="20"/>
      <c r="N35" s="20"/>
      <c r="O35" s="20"/>
      <c r="P35" s="20"/>
      <c r="Q35" s="20"/>
      <c r="R35" s="21"/>
    </row>
    <row r="36" customFormat="false" ht="15" hidden="false" customHeight="false" outlineLevel="0" collapsed="false">
      <c r="A36" s="22"/>
      <c r="B36" s="20"/>
      <c r="C36" s="20"/>
      <c r="D36" s="20"/>
      <c r="E36" s="20"/>
      <c r="F36" s="20"/>
      <c r="G36" s="20"/>
      <c r="H36" s="20"/>
      <c r="I36" s="21"/>
      <c r="J36" s="22"/>
      <c r="K36" s="20"/>
      <c r="L36" s="20"/>
      <c r="M36" s="20"/>
      <c r="N36" s="20"/>
      <c r="O36" s="20"/>
      <c r="P36" s="20"/>
      <c r="Q36" s="20"/>
      <c r="R36" s="21"/>
    </row>
    <row r="37" customFormat="false" ht="15" hidden="false" customHeight="false" outlineLevel="0" collapsed="false">
      <c r="A37" s="22"/>
      <c r="B37" s="20"/>
      <c r="C37" s="20"/>
      <c r="D37" s="20"/>
      <c r="E37" s="20"/>
      <c r="F37" s="20"/>
      <c r="G37" s="20"/>
      <c r="H37" s="20"/>
      <c r="I37" s="21"/>
      <c r="J37" s="22"/>
      <c r="K37" s="20"/>
      <c r="L37" s="20"/>
      <c r="M37" s="20"/>
      <c r="N37" s="20"/>
      <c r="O37" s="20"/>
      <c r="P37" s="20"/>
      <c r="Q37" s="20"/>
      <c r="R37" s="21"/>
    </row>
    <row r="38" customFormat="false" ht="15" hidden="false" customHeight="false" outlineLevel="0" collapsed="false">
      <c r="A38" s="22"/>
      <c r="B38" s="20"/>
      <c r="C38" s="20"/>
      <c r="D38" s="20"/>
      <c r="E38" s="20"/>
      <c r="F38" s="20"/>
      <c r="G38" s="20"/>
      <c r="H38" s="20"/>
      <c r="I38" s="21"/>
      <c r="J38" s="22"/>
      <c r="K38" s="20"/>
      <c r="L38" s="20"/>
      <c r="M38" s="20"/>
      <c r="N38" s="20"/>
      <c r="O38" s="20"/>
      <c r="P38" s="20"/>
      <c r="Q38" s="20"/>
      <c r="R38" s="21"/>
    </row>
    <row r="39" customFormat="false" ht="15" hidden="false" customHeight="false" outlineLevel="0" collapsed="false">
      <c r="A39" s="22"/>
      <c r="B39" s="20"/>
      <c r="C39" s="20"/>
      <c r="D39" s="20"/>
      <c r="E39" s="20"/>
      <c r="F39" s="20"/>
      <c r="G39" s="20"/>
      <c r="H39" s="20"/>
      <c r="I39" s="21"/>
      <c r="J39" s="22"/>
      <c r="K39" s="20"/>
      <c r="L39" s="20"/>
      <c r="M39" s="20"/>
      <c r="N39" s="20"/>
      <c r="O39" s="20"/>
      <c r="P39" s="20"/>
      <c r="Q39" s="20"/>
      <c r="R39" s="21"/>
    </row>
    <row r="40" customFormat="false" ht="15" hidden="false" customHeight="false" outlineLevel="0" collapsed="false">
      <c r="A40" s="22"/>
      <c r="B40" s="20"/>
      <c r="C40" s="20"/>
      <c r="D40" s="20"/>
      <c r="E40" s="20"/>
      <c r="F40" s="20"/>
      <c r="G40" s="20"/>
      <c r="H40" s="20"/>
      <c r="I40" s="21"/>
      <c r="J40" s="22"/>
      <c r="K40" s="20"/>
      <c r="L40" s="20"/>
      <c r="M40" s="20"/>
      <c r="N40" s="20"/>
      <c r="O40" s="20"/>
      <c r="P40" s="20"/>
      <c r="Q40" s="20"/>
      <c r="R40" s="21"/>
    </row>
    <row r="41" customFormat="false" ht="15" hidden="false" customHeight="false" outlineLevel="0" collapsed="false">
      <c r="A41" s="22"/>
      <c r="B41" s="20"/>
      <c r="C41" s="20"/>
      <c r="D41" s="20"/>
      <c r="E41" s="20"/>
      <c r="F41" s="20"/>
      <c r="G41" s="20"/>
      <c r="H41" s="20"/>
      <c r="I41" s="21"/>
      <c r="J41" s="22"/>
      <c r="K41" s="20"/>
      <c r="L41" s="20"/>
      <c r="M41" s="20"/>
      <c r="N41" s="20"/>
      <c r="O41" s="20"/>
      <c r="P41" s="20"/>
      <c r="Q41" s="20"/>
      <c r="R41" s="21"/>
    </row>
    <row r="42" customFormat="false" ht="15" hidden="false" customHeight="false" outlineLevel="0" collapsed="false">
      <c r="A42" s="22"/>
      <c r="B42" s="20"/>
      <c r="C42" s="20"/>
      <c r="D42" s="20"/>
      <c r="E42" s="20"/>
      <c r="F42" s="20"/>
      <c r="G42" s="20"/>
      <c r="H42" s="20"/>
      <c r="I42" s="21"/>
      <c r="J42" s="22"/>
      <c r="K42" s="20"/>
      <c r="L42" s="20"/>
      <c r="M42" s="20"/>
      <c r="N42" s="20"/>
      <c r="O42" s="20"/>
      <c r="P42" s="20"/>
      <c r="Q42" s="20"/>
      <c r="R42" s="21"/>
    </row>
    <row r="43" customFormat="false" ht="15" hidden="false" customHeight="false" outlineLevel="0" collapsed="false">
      <c r="A43" s="22"/>
      <c r="B43" s="20"/>
      <c r="C43" s="20"/>
      <c r="D43" s="20"/>
      <c r="E43" s="20"/>
      <c r="F43" s="20"/>
      <c r="G43" s="20"/>
      <c r="H43" s="20"/>
      <c r="I43" s="21"/>
      <c r="J43" s="22"/>
      <c r="K43" s="20"/>
      <c r="L43" s="20"/>
      <c r="M43" s="20"/>
      <c r="N43" s="20"/>
      <c r="O43" s="20"/>
      <c r="P43" s="20"/>
      <c r="Q43" s="20"/>
      <c r="R43" s="21"/>
    </row>
    <row r="44" customFormat="false" ht="15" hidden="false" customHeight="false" outlineLevel="0" collapsed="false">
      <c r="A44" s="22"/>
      <c r="B44" s="20"/>
      <c r="C44" s="20"/>
      <c r="D44" s="20"/>
      <c r="E44" s="20"/>
      <c r="F44" s="20"/>
      <c r="G44" s="20"/>
      <c r="H44" s="20"/>
      <c r="I44" s="21"/>
      <c r="J44" s="22"/>
      <c r="K44" s="20"/>
      <c r="L44" s="20"/>
      <c r="M44" s="20"/>
      <c r="N44" s="20"/>
      <c r="O44" s="20"/>
      <c r="P44" s="20"/>
      <c r="Q44" s="20"/>
      <c r="R44" s="21"/>
    </row>
    <row r="45" customFormat="false" ht="15" hidden="false" customHeight="false" outlineLevel="0" collapsed="false">
      <c r="A45" s="22"/>
      <c r="B45" s="20"/>
      <c r="C45" s="20"/>
      <c r="D45" s="20"/>
      <c r="E45" s="20"/>
      <c r="F45" s="20"/>
      <c r="G45" s="20"/>
      <c r="H45" s="20"/>
      <c r="I45" s="21"/>
      <c r="J45" s="22"/>
      <c r="K45" s="20"/>
      <c r="L45" s="20"/>
      <c r="M45" s="20"/>
      <c r="N45" s="20"/>
      <c r="O45" s="20"/>
      <c r="P45" s="20"/>
      <c r="Q45" s="20"/>
      <c r="R45" s="21"/>
    </row>
    <row r="46" customFormat="false" ht="15" hidden="false" customHeight="false" outlineLevel="0" collapsed="false">
      <c r="A46" s="22"/>
      <c r="B46" s="20"/>
      <c r="C46" s="20"/>
      <c r="D46" s="20"/>
      <c r="E46" s="20"/>
      <c r="F46" s="20"/>
      <c r="G46" s="20"/>
      <c r="H46" s="20"/>
      <c r="I46" s="21"/>
      <c r="J46" s="22"/>
      <c r="K46" s="20"/>
      <c r="L46" s="20"/>
      <c r="M46" s="20"/>
      <c r="N46" s="20"/>
      <c r="O46" s="20"/>
      <c r="P46" s="20"/>
      <c r="Q46" s="20"/>
      <c r="R46" s="21"/>
    </row>
    <row r="47" customFormat="false" ht="15" hidden="false" customHeight="false" outlineLevel="0" collapsed="false">
      <c r="A47" s="22"/>
      <c r="B47" s="20"/>
      <c r="C47" s="20"/>
      <c r="D47" s="20"/>
      <c r="E47" s="20"/>
      <c r="F47" s="20"/>
      <c r="G47" s="20"/>
      <c r="H47" s="20"/>
      <c r="I47" s="21"/>
      <c r="J47" s="22"/>
      <c r="K47" s="20"/>
      <c r="L47" s="20"/>
      <c r="M47" s="20"/>
      <c r="N47" s="20"/>
      <c r="O47" s="20"/>
      <c r="P47" s="20"/>
      <c r="Q47" s="20"/>
      <c r="R47" s="21"/>
    </row>
    <row r="48" customFormat="false" ht="15" hidden="false" customHeight="false" outlineLevel="0" collapsed="false">
      <c r="A48" s="22"/>
      <c r="B48" s="20"/>
      <c r="C48" s="20"/>
      <c r="D48" s="20"/>
      <c r="E48" s="20"/>
      <c r="F48" s="20"/>
      <c r="G48" s="20"/>
      <c r="H48" s="20"/>
      <c r="I48" s="21"/>
      <c r="J48" s="22"/>
      <c r="K48" s="20"/>
      <c r="L48" s="20"/>
      <c r="M48" s="20"/>
      <c r="N48" s="20"/>
      <c r="O48" s="20"/>
      <c r="P48" s="20"/>
      <c r="Q48" s="20"/>
      <c r="R48" s="21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</sheetData>
  <mergeCells count="14">
    <mergeCell ref="A1:R2"/>
    <mergeCell ref="A3:R3"/>
    <mergeCell ref="A6:C6"/>
    <mergeCell ref="D6:F6"/>
    <mergeCell ref="G6:I6"/>
    <mergeCell ref="J6:L6"/>
    <mergeCell ref="M6:O6"/>
    <mergeCell ref="P6:R6"/>
    <mergeCell ref="A7:C8"/>
    <mergeCell ref="D7:F8"/>
    <mergeCell ref="G7:I8"/>
    <mergeCell ref="J7:L8"/>
    <mergeCell ref="M7:O8"/>
    <mergeCell ref="P7:R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9"/>
  </cols>
  <sheetData>
    <row r="1" customFormat="false" ht="19.7" hidden="false" customHeight="false" outlineLevel="0" collapsed="false">
      <c r="A1" s="23" t="s">
        <v>12</v>
      </c>
    </row>
    <row r="2" customFormat="false" ht="15" hidden="false" customHeight="false" outlineLevel="0" collapsed="false">
      <c r="A2" s="24" t="s">
        <v>13</v>
      </c>
    </row>
    <row r="4" customFormat="false" ht="27.75" hidden="false" customHeight="true" outlineLevel="0" collapsed="false">
      <c r="A4" s="25" t="s">
        <v>14</v>
      </c>
      <c r="B4" s="25" t="s">
        <v>15</v>
      </c>
      <c r="C4" s="25" t="s">
        <v>16</v>
      </c>
      <c r="D4" s="25" t="s">
        <v>17</v>
      </c>
      <c r="E4" s="25" t="s">
        <v>18</v>
      </c>
    </row>
    <row r="5" customFormat="false" ht="18.55" hidden="false" customHeight="false" outlineLevel="0" collapsed="false">
      <c r="A5" s="26" t="n">
        <f aca="false">COUNTA(Data!$A$2:$A$1201)</f>
        <v>1200</v>
      </c>
      <c r="B5" s="26" t="n">
        <f aca="false">SUM(Data!$H$2:$H$1201)</f>
        <v>982716</v>
      </c>
      <c r="C5" s="26" t="n">
        <f aca="false">SUMIFS(Data!$H$2:$H$1201,Data!$J$2:$J$1201,"Delivered")</f>
        <v>806446</v>
      </c>
      <c r="D5" s="26" t="n">
        <f aca="false">B5/A5</f>
        <v>818.93</v>
      </c>
      <c r="E5" s="27" t="n">
        <f aca="false">AVERAGE(Data!$K$2:$K$1201)</f>
        <v>3.98232558139535</v>
      </c>
    </row>
    <row r="7" customFormat="false" ht="19.5" hidden="false" customHeight="true" outlineLevel="0" collapsed="false">
      <c r="A7" s="25" t="s">
        <v>19</v>
      </c>
      <c r="B7" s="25" t="s">
        <v>20</v>
      </c>
      <c r="C7" s="25" t="s">
        <v>21</v>
      </c>
      <c r="D7" s="25" t="s">
        <v>22</v>
      </c>
      <c r="E7" s="25" t="s">
        <v>23</v>
      </c>
    </row>
    <row r="8" customFormat="false" ht="18.55" hidden="false" customHeight="false" outlineLevel="0" collapsed="false">
      <c r="A8" s="28" t="n">
        <f aca="false">COUNTIFS(Data!$J$2:$J$1201,"Delivered")/A5</f>
        <v>0.821666666666667</v>
      </c>
      <c r="B8" s="28" t="n">
        <f aca="false">COUNTIFS(Data!$J$2:$J$1201,"Returned")/A5</f>
        <v>0.0741666666666667</v>
      </c>
      <c r="C8" s="28" t="n">
        <f aca="false">COUNTIFS(Data!$J$2:$J$1201,"Cancelled")/A5</f>
        <v>0.04</v>
      </c>
      <c r="D8" s="28" t="n">
        <f aca="false">COUNTIFS(Data!$J$2:$J$1201,"RTO")/A5</f>
        <v>0.0641666666666667</v>
      </c>
      <c r="E8" s="28" t="n">
        <f aca="false">COUNTIFS(Data!$I$2:$I$1201,"COD")/A5</f>
        <v>0.385833333333333</v>
      </c>
    </row>
    <row r="11" customFormat="false" ht="15" hidden="false" customHeight="false" outlineLevel="0" collapsed="false">
      <c r="A11" s="29" t="s">
        <v>24</v>
      </c>
      <c r="F11" s="29" t="s">
        <v>25</v>
      </c>
    </row>
    <row r="12" customFormat="false" ht="15" hidden="false" customHeight="false" outlineLevel="0" collapsed="false">
      <c r="A12" s="30" t="s">
        <v>26</v>
      </c>
      <c r="B12" s="30" t="s">
        <v>27</v>
      </c>
      <c r="C12" s="30" t="s">
        <v>28</v>
      </c>
      <c r="D12" s="30" t="s">
        <v>29</v>
      </c>
      <c r="F12" s="30" t="s">
        <v>30</v>
      </c>
      <c r="G12" s="30" t="s">
        <v>27</v>
      </c>
      <c r="H12" s="30" t="s">
        <v>31</v>
      </c>
      <c r="I12" s="30" t="s">
        <v>32</v>
      </c>
    </row>
    <row r="13" customFormat="false" ht="15" hidden="false" customHeight="false" outlineLevel="0" collapsed="false">
      <c r="A13" s="31" t="s">
        <v>33</v>
      </c>
      <c r="B13" s="31" t="n">
        <f aca="false">COUNTIFS(Data!$D$2:$D$1201,A13)</f>
        <v>367</v>
      </c>
      <c r="C13" s="32" t="n">
        <f aca="false">SUMIFS(Data!$H$2:$H$1201,Data!$D$2:$D$1201,A13)</f>
        <v>310926</v>
      </c>
      <c r="D13" s="33" t="n">
        <f aca="false">IFERROR(COUNTIFS(Data!$D$2:$D$1201,A13,Data!$J$2:$J$1201,"Returned")/B13,0)</f>
        <v>0.0653950953678474</v>
      </c>
      <c r="F13" s="31" t="s">
        <v>34</v>
      </c>
      <c r="G13" s="31" t="n">
        <f aca="false">COUNTIFS(Data!$I$2:$I$1201,F13)</f>
        <v>737</v>
      </c>
      <c r="H13" s="33" t="n">
        <f aca="false">IFERROR(COUNTIFS(Data!$I$2:$I$1201,F13,Data!$J$2:$J$1201,"Delivered")/G13,0)</f>
        <v>0.887381275440977</v>
      </c>
      <c r="I13" s="33" t="n">
        <f aca="false">IFERROR(COUNTIFS(Data!$I$2:$I$1201,F13,Data!$J$2:$J$1201,"RTO")/G13,0)</f>
        <v>0.00814111261872456</v>
      </c>
    </row>
    <row r="14" customFormat="false" ht="15" hidden="false" customHeight="false" outlineLevel="0" collapsed="false">
      <c r="A14" s="31" t="s">
        <v>35</v>
      </c>
      <c r="B14" s="31" t="n">
        <f aca="false">COUNTIFS(Data!$D$2:$D$1201,A14)</f>
        <v>275</v>
      </c>
      <c r="C14" s="32" t="n">
        <f aca="false">SUMIFS(Data!$H$2:$H$1201,Data!$D$2:$D$1201,A14)</f>
        <v>195228</v>
      </c>
      <c r="D14" s="33" t="n">
        <f aca="false">IFERROR(COUNTIFS(Data!$D$2:$D$1201,A14,Data!$J$2:$J$1201,"Returned")/B14,0)</f>
        <v>0.08</v>
      </c>
      <c r="F14" s="31" t="s">
        <v>36</v>
      </c>
      <c r="G14" s="31" t="n">
        <f aca="false">COUNTIFS(Data!$I$2:$I$1201,F14)</f>
        <v>463</v>
      </c>
      <c r="H14" s="33" t="n">
        <f aca="false">IFERROR(COUNTIFS(Data!$I$2:$I$1201,F14,Data!$J$2:$J$1201,"Delivered")/G14,0)</f>
        <v>0.717062634989201</v>
      </c>
      <c r="I14" s="33" t="n">
        <f aca="false">IFERROR(COUNTIFS(Data!$I$2:$I$1201,F14,Data!$J$2:$J$1201,"RTO")/G14,0)</f>
        <v>0.153347732181425</v>
      </c>
    </row>
    <row r="15" customFormat="false" ht="15" hidden="false" customHeight="false" outlineLevel="0" collapsed="false">
      <c r="A15" s="31" t="s">
        <v>37</v>
      </c>
      <c r="B15" s="31" t="n">
        <f aca="false">COUNTIFS(Data!$D$2:$D$1201,A15)</f>
        <v>203</v>
      </c>
      <c r="C15" s="32" t="n">
        <f aca="false">SUMIFS(Data!$H$2:$H$1201,Data!$D$2:$D$1201,A15)</f>
        <v>130148</v>
      </c>
      <c r="D15" s="33" t="n">
        <f aca="false">IFERROR(COUNTIFS(Data!$D$2:$D$1201,A15,Data!$J$2:$J$1201,"Returned")/B15,0)</f>
        <v>0.0640394088669951</v>
      </c>
    </row>
    <row r="16" customFormat="false" ht="15" hidden="false" customHeight="false" outlineLevel="0" collapsed="false">
      <c r="A16" s="31" t="s">
        <v>38</v>
      </c>
      <c r="B16" s="31" t="n">
        <f aca="false">COUNTIFS(Data!$D$2:$D$1201,A16)</f>
        <v>208</v>
      </c>
      <c r="C16" s="32" t="n">
        <f aca="false">SUMIFS(Data!$H$2:$H$1201,Data!$D$2:$D$1201,A16)</f>
        <v>185124</v>
      </c>
      <c r="D16" s="33" t="n">
        <f aca="false">IFERROR(COUNTIFS(Data!$D$2:$D$1201,A16,Data!$J$2:$J$1201,"Returned")/B16,0)</f>
        <v>0.0913461538461538</v>
      </c>
      <c r="F16" s="29" t="s">
        <v>10</v>
      </c>
    </row>
    <row r="17" customFormat="false" ht="15" hidden="false" customHeight="false" outlineLevel="0" collapsed="false">
      <c r="A17" s="31" t="s">
        <v>39</v>
      </c>
      <c r="B17" s="31" t="n">
        <f aca="false">COUNTIFS(Data!$D$2:$D$1201,A17)</f>
        <v>147</v>
      </c>
      <c r="C17" s="32" t="n">
        <f aca="false">SUMIFS(Data!$H$2:$H$1201,Data!$D$2:$D$1201,A17)</f>
        <v>161290</v>
      </c>
      <c r="D17" s="33" t="n">
        <f aca="false">IFERROR(COUNTIFS(Data!$D$2:$D$1201,A17,Data!$J$2:$J$1201,"Returned")/B17,0)</f>
        <v>0.0748299319727891</v>
      </c>
      <c r="F17" s="30" t="s">
        <v>40</v>
      </c>
      <c r="G17" s="30" t="s">
        <v>27</v>
      </c>
      <c r="H17" s="30" t="s">
        <v>41</v>
      </c>
    </row>
    <row r="18" customFormat="false" ht="15" hidden="false" customHeight="false" outlineLevel="0" collapsed="false">
      <c r="F18" s="31" t="s">
        <v>42</v>
      </c>
      <c r="G18" s="31" t="n">
        <f aca="false">COUNTIFS(Data!$J$2:$J$1201,F18)</f>
        <v>986</v>
      </c>
      <c r="H18" s="33" t="n">
        <f aca="false">G18/$A$5</f>
        <v>0.821666666666667</v>
      </c>
    </row>
    <row r="19" customFormat="false" ht="15" hidden="false" customHeight="false" outlineLevel="0" collapsed="false">
      <c r="F19" s="31" t="s">
        <v>43</v>
      </c>
      <c r="G19" s="31" t="n">
        <f aca="false">COUNTIFS(Data!$J$2:$J$1201,F19)</f>
        <v>89</v>
      </c>
      <c r="H19" s="33" t="n">
        <f aca="false">G19/$A$5</f>
        <v>0.0741666666666667</v>
      </c>
    </row>
    <row r="20" customFormat="false" ht="15" hidden="false" customHeight="false" outlineLevel="0" collapsed="false">
      <c r="A20" s="29" t="s">
        <v>44</v>
      </c>
      <c r="F20" s="31" t="s">
        <v>45</v>
      </c>
      <c r="G20" s="31" t="n">
        <f aca="false">COUNTIFS(Data!$J$2:$J$1201,F20)</f>
        <v>48</v>
      </c>
      <c r="H20" s="33" t="n">
        <f aca="false">G20/$A$5</f>
        <v>0.04</v>
      </c>
    </row>
    <row r="21" customFormat="false" ht="15" hidden="false" customHeight="false" outlineLevel="0" collapsed="false">
      <c r="A21" s="30" t="s">
        <v>46</v>
      </c>
      <c r="B21" s="30" t="s">
        <v>27</v>
      </c>
      <c r="C21" s="30" t="s">
        <v>28</v>
      </c>
      <c r="D21" s="30" t="s">
        <v>29</v>
      </c>
      <c r="F21" s="31" t="s">
        <v>47</v>
      </c>
      <c r="G21" s="31" t="n">
        <f aca="false">COUNTIFS(Data!$J$2:$J$1201,F21)</f>
        <v>77</v>
      </c>
      <c r="H21" s="33" t="n">
        <f aca="false">G21/$A$5</f>
        <v>0.0641666666666667</v>
      </c>
    </row>
    <row r="22" customFormat="false" ht="15" hidden="false" customHeight="false" outlineLevel="0" collapsed="false">
      <c r="A22" s="31" t="s">
        <v>48</v>
      </c>
      <c r="B22" s="31" t="n">
        <f aca="false">COUNTIFS(Data!$C$2:$C$1201,A22)</f>
        <v>150</v>
      </c>
      <c r="C22" s="32" t="n">
        <f aca="false">SUMIFS(Data!$H$2:$H$1201,Data!$C$2:$C$1201,A22)</f>
        <v>123640</v>
      </c>
      <c r="D22" s="33" t="n">
        <f aca="false">IFERROR(COUNTIFS(Data!$C$2:$C$1201,A22,Data!$J$2:$J$1201,"Returned")/B22,0)</f>
        <v>0.02</v>
      </c>
    </row>
    <row r="23" customFormat="false" ht="15" hidden="false" customHeight="false" outlineLevel="0" collapsed="false">
      <c r="A23" s="31" t="s">
        <v>49</v>
      </c>
      <c r="B23" s="31" t="n">
        <f aca="false">COUNTIFS(Data!$C$2:$C$1201,A23)</f>
        <v>155</v>
      </c>
      <c r="C23" s="32" t="n">
        <f aca="false">SUMIFS(Data!$H$2:$H$1201,Data!$C$2:$C$1201,A23)</f>
        <v>132832</v>
      </c>
      <c r="D23" s="33" t="n">
        <f aca="false">IFERROR(COUNTIFS(Data!$C$2:$C$1201,A23,Data!$J$2:$J$1201,"Returned")/B23,0)</f>
        <v>0.0645161290322581</v>
      </c>
    </row>
    <row r="24" customFormat="false" ht="15" hidden="false" customHeight="false" outlineLevel="0" collapsed="false">
      <c r="A24" s="31" t="s">
        <v>50</v>
      </c>
      <c r="B24" s="31" t="n">
        <f aca="false">COUNTIFS(Data!$C$2:$C$1201,A24)</f>
        <v>156</v>
      </c>
      <c r="C24" s="32" t="n">
        <f aca="false">SUMIFS(Data!$H$2:$H$1201,Data!$C$2:$C$1201,A24)</f>
        <v>129214</v>
      </c>
      <c r="D24" s="33" t="n">
        <f aca="false">IFERROR(COUNTIFS(Data!$C$2:$C$1201,A24,Data!$J$2:$J$1201,"Returned")/B24,0)</f>
        <v>0.0897435897435897</v>
      </c>
    </row>
    <row r="25" customFormat="false" ht="15" hidden="false" customHeight="false" outlineLevel="0" collapsed="false">
      <c r="A25" s="31" t="s">
        <v>51</v>
      </c>
      <c r="B25" s="31" t="n">
        <f aca="false">COUNTIFS(Data!$C$2:$C$1201,A25)</f>
        <v>143</v>
      </c>
      <c r="C25" s="32" t="n">
        <f aca="false">SUMIFS(Data!$H$2:$H$1201,Data!$C$2:$C$1201,A25)</f>
        <v>107488</v>
      </c>
      <c r="D25" s="33" t="n">
        <f aca="false">IFERROR(COUNTIFS(Data!$C$2:$C$1201,A25,Data!$J$2:$J$1201,"Returned")/B25,0)</f>
        <v>0.111888111888112</v>
      </c>
    </row>
    <row r="26" customFormat="false" ht="15" hidden="false" customHeight="false" outlineLevel="0" collapsed="false">
      <c r="A26" s="31" t="s">
        <v>52</v>
      </c>
      <c r="B26" s="31" t="n">
        <f aca="false">COUNTIFS(Data!$C$2:$C$1201,A26)</f>
        <v>162</v>
      </c>
      <c r="C26" s="32" t="n">
        <f aca="false">SUMIFS(Data!$H$2:$H$1201,Data!$C$2:$C$1201,A26)</f>
        <v>133180</v>
      </c>
      <c r="D26" s="33" t="n">
        <f aca="false">IFERROR(COUNTIFS(Data!$C$2:$C$1201,A26,Data!$J$2:$J$1201,"Returned")/B26,0)</f>
        <v>0.0864197530864198</v>
      </c>
    </row>
    <row r="27" customFormat="false" ht="15" hidden="false" customHeight="false" outlineLevel="0" collapsed="false">
      <c r="A27" s="31" t="s">
        <v>53</v>
      </c>
      <c r="B27" s="31" t="n">
        <f aca="false">COUNTIFS(Data!$C$2:$C$1201,A27)</f>
        <v>157</v>
      </c>
      <c r="C27" s="32" t="n">
        <f aca="false">SUMIFS(Data!$H$2:$H$1201,Data!$C$2:$C$1201,A27)</f>
        <v>127796</v>
      </c>
      <c r="D27" s="33" t="n">
        <f aca="false">IFERROR(COUNTIFS(Data!$C$2:$C$1201,A27,Data!$J$2:$J$1201,"Returned")/B27,0)</f>
        <v>0.0573248407643312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6" min="4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34" t="s">
        <v>54</v>
      </c>
    </row>
    <row r="2" customFormat="false" ht="15" hidden="false" customHeight="false" outlineLevel="0" collapsed="false">
      <c r="A2" s="24" t="s">
        <v>55</v>
      </c>
    </row>
    <row r="4" customFormat="false" ht="15" hidden="false" customHeight="false" outlineLevel="0" collapsed="false">
      <c r="A4" s="30" t="s">
        <v>56</v>
      </c>
      <c r="B4" s="30" t="s">
        <v>27</v>
      </c>
      <c r="C4" s="30" t="s">
        <v>28</v>
      </c>
      <c r="D4" s="30" t="s">
        <v>42</v>
      </c>
      <c r="E4" s="30" t="s">
        <v>43</v>
      </c>
      <c r="F4" s="30" t="s">
        <v>45</v>
      </c>
      <c r="G4" s="30" t="s">
        <v>47</v>
      </c>
      <c r="H4" s="30" t="s">
        <v>31</v>
      </c>
      <c r="I4" s="30" t="s">
        <v>29</v>
      </c>
      <c r="J4" s="30" t="s">
        <v>57</v>
      </c>
    </row>
    <row r="5" customFormat="false" ht="15" hidden="false" customHeight="false" outlineLevel="0" collapsed="false">
      <c r="A5" s="35" t="n">
        <v>46204</v>
      </c>
      <c r="B5" s="31" t="n">
        <f aca="false">COUNTIFS(Data!$B$2:$B$1201,A5)</f>
        <v>8</v>
      </c>
      <c r="C5" s="32" t="n">
        <f aca="false">SUMIFS(Data!$H$2:$H$1201,Data!$B$2:$B$1201,A5)</f>
        <v>7590</v>
      </c>
      <c r="D5" s="31" t="n">
        <f aca="false">COUNTIFS(Data!$B$2:$B$1201,$A5,Data!$J$2:$J$1201,"Delivered")</f>
        <v>7</v>
      </c>
      <c r="E5" s="31" t="n">
        <f aca="false">COUNTIFS(Data!$B$2:$B$1201,$A5,Data!$J$2:$J$1201,"Returned")</f>
        <v>1</v>
      </c>
      <c r="F5" s="31" t="n">
        <f aca="false">COUNTIFS(Data!$B$2:$B$1201,$A5,Data!$J$2:$J$1201,"Cancelled")</f>
        <v>0</v>
      </c>
      <c r="G5" s="31" t="n">
        <f aca="false">COUNTIFS(Data!$B$2:$B$1201,$A5,Data!$J$2:$J$1201,"RTO")</f>
        <v>0</v>
      </c>
      <c r="H5" s="33" t="n">
        <f aca="false">IFERROR(D5/B5,0)</f>
        <v>0.875</v>
      </c>
      <c r="I5" s="33" t="n">
        <f aca="false">IFERROR(E5/B5,0)</f>
        <v>0.125</v>
      </c>
      <c r="J5" s="31" t="n">
        <f aca="false">COUNTIFS(Data!$B$2:$B$1201,$A5,Data!$I$2:$I$1201,"COD")</f>
        <v>4</v>
      </c>
    </row>
    <row r="6" customFormat="false" ht="15" hidden="false" customHeight="false" outlineLevel="0" collapsed="false">
      <c r="A6" s="35" t="n">
        <v>46205</v>
      </c>
      <c r="B6" s="31" t="n">
        <f aca="false">COUNTIFS(Data!$B$2:$B$1201,A6)</f>
        <v>8</v>
      </c>
      <c r="C6" s="32" t="n">
        <f aca="false">SUMIFS(Data!$H$2:$H$1201,Data!$B$2:$B$1201,A6)</f>
        <v>7576</v>
      </c>
      <c r="D6" s="31" t="n">
        <f aca="false">COUNTIFS(Data!$B$2:$B$1201,$A6,Data!$J$2:$J$1201,"Delivered")</f>
        <v>5</v>
      </c>
      <c r="E6" s="31" t="n">
        <f aca="false">COUNTIFS(Data!$B$2:$B$1201,$A6,Data!$J$2:$J$1201,"Returned")</f>
        <v>1</v>
      </c>
      <c r="F6" s="31" t="n">
        <f aca="false">COUNTIFS(Data!$B$2:$B$1201,$A6,Data!$J$2:$J$1201,"Cancelled")</f>
        <v>1</v>
      </c>
      <c r="G6" s="31" t="n">
        <f aca="false">COUNTIFS(Data!$B$2:$B$1201,$A6,Data!$J$2:$J$1201,"RTO")</f>
        <v>1</v>
      </c>
      <c r="H6" s="33" t="n">
        <f aca="false">IFERROR(D6/B6,0)</f>
        <v>0.625</v>
      </c>
      <c r="I6" s="33" t="n">
        <f aca="false">IFERROR(E6/B6,0)</f>
        <v>0.125</v>
      </c>
      <c r="J6" s="31" t="n">
        <f aca="false">COUNTIFS(Data!$B$2:$B$1201,$A6,Data!$I$2:$I$1201,"COD")</f>
        <v>3</v>
      </c>
    </row>
    <row r="7" customFormat="false" ht="15" hidden="false" customHeight="false" outlineLevel="0" collapsed="false">
      <c r="A7" s="35" t="n">
        <v>46206</v>
      </c>
      <c r="B7" s="31" t="n">
        <f aca="false">COUNTIFS(Data!$B$2:$B$1201,A7)</f>
        <v>8</v>
      </c>
      <c r="C7" s="32" t="n">
        <f aca="false">SUMIFS(Data!$H$2:$H$1201,Data!$B$2:$B$1201,A7)</f>
        <v>7178</v>
      </c>
      <c r="D7" s="31" t="n">
        <f aca="false">COUNTIFS(Data!$B$2:$B$1201,$A7,Data!$J$2:$J$1201,"Delivered")</f>
        <v>6</v>
      </c>
      <c r="E7" s="31" t="n">
        <f aca="false">COUNTIFS(Data!$B$2:$B$1201,$A7,Data!$J$2:$J$1201,"Returned")</f>
        <v>0</v>
      </c>
      <c r="F7" s="31" t="n">
        <f aca="false">COUNTIFS(Data!$B$2:$B$1201,$A7,Data!$J$2:$J$1201,"Cancelled")</f>
        <v>0</v>
      </c>
      <c r="G7" s="31" t="n">
        <f aca="false">COUNTIFS(Data!$B$2:$B$1201,$A7,Data!$J$2:$J$1201,"RTO")</f>
        <v>2</v>
      </c>
      <c r="H7" s="33" t="n">
        <f aca="false">IFERROR(D7/B7,0)</f>
        <v>0.75</v>
      </c>
      <c r="I7" s="33" t="n">
        <f aca="false">IFERROR(E7/B7,0)</f>
        <v>0</v>
      </c>
      <c r="J7" s="31" t="n">
        <f aca="false">COUNTIFS(Data!$B$2:$B$1201,$A7,Data!$I$2:$I$1201,"COD")</f>
        <v>4</v>
      </c>
    </row>
    <row r="8" customFormat="false" ht="15" hidden="false" customHeight="false" outlineLevel="0" collapsed="false">
      <c r="A8" s="35" t="n">
        <v>46207</v>
      </c>
      <c r="B8" s="31" t="n">
        <f aca="false">COUNTIFS(Data!$B$2:$B$1201,A8)</f>
        <v>16</v>
      </c>
      <c r="C8" s="32" t="n">
        <f aca="false">SUMIFS(Data!$H$2:$H$1201,Data!$B$2:$B$1201,A8)</f>
        <v>10942</v>
      </c>
      <c r="D8" s="31" t="n">
        <f aca="false">COUNTIFS(Data!$B$2:$B$1201,$A8,Data!$J$2:$J$1201,"Delivered")</f>
        <v>14</v>
      </c>
      <c r="E8" s="31" t="n">
        <f aca="false">COUNTIFS(Data!$B$2:$B$1201,$A8,Data!$J$2:$J$1201,"Returned")</f>
        <v>0</v>
      </c>
      <c r="F8" s="31" t="n">
        <f aca="false">COUNTIFS(Data!$B$2:$B$1201,$A8,Data!$J$2:$J$1201,"Cancelled")</f>
        <v>0</v>
      </c>
      <c r="G8" s="31" t="n">
        <f aca="false">COUNTIFS(Data!$B$2:$B$1201,$A8,Data!$J$2:$J$1201,"RTO")</f>
        <v>2</v>
      </c>
      <c r="H8" s="33" t="n">
        <f aca="false">IFERROR(D8/B8,0)</f>
        <v>0.875</v>
      </c>
      <c r="I8" s="33" t="n">
        <f aca="false">IFERROR(E8/B8,0)</f>
        <v>0</v>
      </c>
      <c r="J8" s="31" t="n">
        <f aca="false">COUNTIFS(Data!$B$2:$B$1201,$A8,Data!$I$2:$I$1201,"COD")</f>
        <v>4</v>
      </c>
    </row>
    <row r="9" customFormat="false" ht="15" hidden="false" customHeight="false" outlineLevel="0" collapsed="false">
      <c r="A9" s="35" t="n">
        <v>46208</v>
      </c>
      <c r="B9" s="31" t="n">
        <f aca="false">COUNTIFS(Data!$B$2:$B$1201,A9)</f>
        <v>19</v>
      </c>
      <c r="C9" s="32" t="n">
        <f aca="false">SUMIFS(Data!$H$2:$H$1201,Data!$B$2:$B$1201,A9)</f>
        <v>16470</v>
      </c>
      <c r="D9" s="31" t="n">
        <f aca="false">COUNTIFS(Data!$B$2:$B$1201,$A9,Data!$J$2:$J$1201,"Delivered")</f>
        <v>17</v>
      </c>
      <c r="E9" s="31" t="n">
        <f aca="false">COUNTIFS(Data!$B$2:$B$1201,$A9,Data!$J$2:$J$1201,"Returned")</f>
        <v>1</v>
      </c>
      <c r="F9" s="31" t="n">
        <f aca="false">COUNTIFS(Data!$B$2:$B$1201,$A9,Data!$J$2:$J$1201,"Cancelled")</f>
        <v>0</v>
      </c>
      <c r="G9" s="31" t="n">
        <f aca="false">COUNTIFS(Data!$B$2:$B$1201,$A9,Data!$J$2:$J$1201,"RTO")</f>
        <v>1</v>
      </c>
      <c r="H9" s="33" t="n">
        <f aca="false">IFERROR(D9/B9,0)</f>
        <v>0.894736842105263</v>
      </c>
      <c r="I9" s="33" t="n">
        <f aca="false">IFERROR(E9/B9,0)</f>
        <v>0.0526315789473684</v>
      </c>
      <c r="J9" s="31" t="n">
        <f aca="false">COUNTIFS(Data!$B$2:$B$1201,$A9,Data!$I$2:$I$1201,"COD")</f>
        <v>6</v>
      </c>
    </row>
    <row r="10" customFormat="false" ht="15" hidden="false" customHeight="false" outlineLevel="0" collapsed="false">
      <c r="A10" s="35" t="n">
        <v>46209</v>
      </c>
      <c r="B10" s="31" t="n">
        <f aca="false">COUNTIFS(Data!$B$2:$B$1201,A10)</f>
        <v>14</v>
      </c>
      <c r="C10" s="32" t="n">
        <f aca="false">SUMIFS(Data!$H$2:$H$1201,Data!$B$2:$B$1201,A10)</f>
        <v>10822</v>
      </c>
      <c r="D10" s="31" t="n">
        <f aca="false">COUNTIFS(Data!$B$2:$B$1201,$A10,Data!$J$2:$J$1201,"Delivered")</f>
        <v>13</v>
      </c>
      <c r="E10" s="31" t="n">
        <f aca="false">COUNTIFS(Data!$B$2:$B$1201,$A10,Data!$J$2:$J$1201,"Returned")</f>
        <v>1</v>
      </c>
      <c r="F10" s="31" t="n">
        <f aca="false">COUNTIFS(Data!$B$2:$B$1201,$A10,Data!$J$2:$J$1201,"Cancelled")</f>
        <v>0</v>
      </c>
      <c r="G10" s="31" t="n">
        <f aca="false">COUNTIFS(Data!$B$2:$B$1201,$A10,Data!$J$2:$J$1201,"RTO")</f>
        <v>0</v>
      </c>
      <c r="H10" s="33" t="n">
        <f aca="false">IFERROR(D10/B10,0)</f>
        <v>0.928571428571429</v>
      </c>
      <c r="I10" s="33" t="n">
        <f aca="false">IFERROR(E10/B10,0)</f>
        <v>0.0714285714285714</v>
      </c>
      <c r="J10" s="31" t="n">
        <f aca="false">COUNTIFS(Data!$B$2:$B$1201,$A10,Data!$I$2:$I$1201,"COD")</f>
        <v>3</v>
      </c>
    </row>
    <row r="11" customFormat="false" ht="15" hidden="false" customHeight="false" outlineLevel="0" collapsed="false">
      <c r="A11" s="35" t="n">
        <v>46210</v>
      </c>
      <c r="B11" s="31" t="n">
        <f aca="false">COUNTIFS(Data!$B$2:$B$1201,A11)</f>
        <v>9</v>
      </c>
      <c r="C11" s="32" t="n">
        <f aca="false">SUMIFS(Data!$H$2:$H$1201,Data!$B$2:$B$1201,A11)</f>
        <v>5742</v>
      </c>
      <c r="D11" s="31" t="n">
        <f aca="false">COUNTIFS(Data!$B$2:$B$1201,$A11,Data!$J$2:$J$1201,"Delivered")</f>
        <v>8</v>
      </c>
      <c r="E11" s="31" t="n">
        <f aca="false">COUNTIFS(Data!$B$2:$B$1201,$A11,Data!$J$2:$J$1201,"Returned")</f>
        <v>0</v>
      </c>
      <c r="F11" s="31" t="n">
        <f aca="false">COUNTIFS(Data!$B$2:$B$1201,$A11,Data!$J$2:$J$1201,"Cancelled")</f>
        <v>0</v>
      </c>
      <c r="G11" s="31" t="n">
        <f aca="false">COUNTIFS(Data!$B$2:$B$1201,$A11,Data!$J$2:$J$1201,"RTO")</f>
        <v>1</v>
      </c>
      <c r="H11" s="33" t="n">
        <f aca="false">IFERROR(D11/B11,0)</f>
        <v>0.888888888888889</v>
      </c>
      <c r="I11" s="33" t="n">
        <f aca="false">IFERROR(E11/B11,0)</f>
        <v>0</v>
      </c>
      <c r="J11" s="31" t="n">
        <f aca="false">COUNTIFS(Data!$B$2:$B$1201,$A11,Data!$I$2:$I$1201,"COD")</f>
        <v>7</v>
      </c>
    </row>
    <row r="12" customFormat="false" ht="15" hidden="false" customHeight="false" outlineLevel="0" collapsed="false">
      <c r="A12" s="35" t="n">
        <v>46211</v>
      </c>
      <c r="B12" s="31" t="n">
        <f aca="false">COUNTIFS(Data!$B$2:$B$1201,A12)</f>
        <v>8</v>
      </c>
      <c r="C12" s="32" t="n">
        <f aca="false">SUMIFS(Data!$H$2:$H$1201,Data!$B$2:$B$1201,A12)</f>
        <v>5912</v>
      </c>
      <c r="D12" s="31" t="n">
        <f aca="false">COUNTIFS(Data!$B$2:$B$1201,$A12,Data!$J$2:$J$1201,"Delivered")</f>
        <v>7</v>
      </c>
      <c r="E12" s="31" t="n">
        <f aca="false">COUNTIFS(Data!$B$2:$B$1201,$A12,Data!$J$2:$J$1201,"Returned")</f>
        <v>1</v>
      </c>
      <c r="F12" s="31" t="n">
        <f aca="false">COUNTIFS(Data!$B$2:$B$1201,$A12,Data!$J$2:$J$1201,"Cancelled")</f>
        <v>0</v>
      </c>
      <c r="G12" s="31" t="n">
        <f aca="false">COUNTIFS(Data!$B$2:$B$1201,$A12,Data!$J$2:$J$1201,"RTO")</f>
        <v>0</v>
      </c>
      <c r="H12" s="33" t="n">
        <f aca="false">IFERROR(D12/B12,0)</f>
        <v>0.875</v>
      </c>
      <c r="I12" s="33" t="n">
        <f aca="false">IFERROR(E12/B12,0)</f>
        <v>0.125</v>
      </c>
      <c r="J12" s="31" t="n">
        <f aca="false">COUNTIFS(Data!$B$2:$B$1201,$A12,Data!$I$2:$I$1201,"COD")</f>
        <v>2</v>
      </c>
    </row>
    <row r="13" customFormat="false" ht="15" hidden="false" customHeight="false" outlineLevel="0" collapsed="false">
      <c r="A13" s="35" t="n">
        <v>46212</v>
      </c>
      <c r="B13" s="31" t="n">
        <f aca="false">COUNTIFS(Data!$B$2:$B$1201,A13)</f>
        <v>6</v>
      </c>
      <c r="C13" s="32" t="n">
        <f aca="false">SUMIFS(Data!$H$2:$H$1201,Data!$B$2:$B$1201,A13)</f>
        <v>5102</v>
      </c>
      <c r="D13" s="31" t="n">
        <f aca="false">COUNTIFS(Data!$B$2:$B$1201,$A13,Data!$J$2:$J$1201,"Delivered")</f>
        <v>5</v>
      </c>
      <c r="E13" s="31" t="n">
        <f aca="false">COUNTIFS(Data!$B$2:$B$1201,$A13,Data!$J$2:$J$1201,"Returned")</f>
        <v>1</v>
      </c>
      <c r="F13" s="31" t="n">
        <f aca="false">COUNTIFS(Data!$B$2:$B$1201,$A13,Data!$J$2:$J$1201,"Cancelled")</f>
        <v>0</v>
      </c>
      <c r="G13" s="31" t="n">
        <f aca="false">COUNTIFS(Data!$B$2:$B$1201,$A13,Data!$J$2:$J$1201,"RTO")</f>
        <v>0</v>
      </c>
      <c r="H13" s="33" t="n">
        <f aca="false">IFERROR(D13/B13,0)</f>
        <v>0.833333333333333</v>
      </c>
      <c r="I13" s="33" t="n">
        <f aca="false">IFERROR(E13/B13,0)</f>
        <v>0.166666666666667</v>
      </c>
      <c r="J13" s="31" t="n">
        <f aca="false">COUNTIFS(Data!$B$2:$B$1201,$A13,Data!$I$2:$I$1201,"COD")</f>
        <v>3</v>
      </c>
    </row>
    <row r="14" customFormat="false" ht="15" hidden="false" customHeight="false" outlineLevel="0" collapsed="false">
      <c r="A14" s="35" t="n">
        <v>46213</v>
      </c>
      <c r="B14" s="31" t="n">
        <f aca="false">COUNTIFS(Data!$B$2:$B$1201,A14)</f>
        <v>12</v>
      </c>
      <c r="C14" s="32" t="n">
        <f aca="false">SUMIFS(Data!$H$2:$H$1201,Data!$B$2:$B$1201,A14)</f>
        <v>9218</v>
      </c>
      <c r="D14" s="31" t="n">
        <f aca="false">COUNTIFS(Data!$B$2:$B$1201,$A14,Data!$J$2:$J$1201,"Delivered")</f>
        <v>12</v>
      </c>
      <c r="E14" s="31" t="n">
        <f aca="false">COUNTIFS(Data!$B$2:$B$1201,$A14,Data!$J$2:$J$1201,"Returned")</f>
        <v>0</v>
      </c>
      <c r="F14" s="31" t="n">
        <f aca="false">COUNTIFS(Data!$B$2:$B$1201,$A14,Data!$J$2:$J$1201,"Cancelled")</f>
        <v>0</v>
      </c>
      <c r="G14" s="31" t="n">
        <f aca="false">COUNTIFS(Data!$B$2:$B$1201,$A14,Data!$J$2:$J$1201,"RTO")</f>
        <v>0</v>
      </c>
      <c r="H14" s="33" t="n">
        <f aca="false">IFERROR(D14/B14,0)</f>
        <v>1</v>
      </c>
      <c r="I14" s="33" t="n">
        <f aca="false">IFERROR(E14/B14,0)</f>
        <v>0</v>
      </c>
      <c r="J14" s="31" t="n">
        <f aca="false">COUNTIFS(Data!$B$2:$B$1201,$A14,Data!$I$2:$I$1201,"COD")</f>
        <v>4</v>
      </c>
    </row>
    <row r="15" customFormat="false" ht="15" hidden="false" customHeight="false" outlineLevel="0" collapsed="false">
      <c r="A15" s="35" t="n">
        <v>46214</v>
      </c>
      <c r="B15" s="31" t="n">
        <f aca="false">COUNTIFS(Data!$B$2:$B$1201,A15)</f>
        <v>16</v>
      </c>
      <c r="C15" s="32" t="n">
        <f aca="false">SUMIFS(Data!$H$2:$H$1201,Data!$B$2:$B$1201,A15)</f>
        <v>12718</v>
      </c>
      <c r="D15" s="31" t="n">
        <f aca="false">COUNTIFS(Data!$B$2:$B$1201,$A15,Data!$J$2:$J$1201,"Delivered")</f>
        <v>13</v>
      </c>
      <c r="E15" s="31" t="n">
        <f aca="false">COUNTIFS(Data!$B$2:$B$1201,$A15,Data!$J$2:$J$1201,"Returned")</f>
        <v>2</v>
      </c>
      <c r="F15" s="31" t="n">
        <f aca="false">COUNTIFS(Data!$B$2:$B$1201,$A15,Data!$J$2:$J$1201,"Cancelled")</f>
        <v>1</v>
      </c>
      <c r="G15" s="31" t="n">
        <f aca="false">COUNTIFS(Data!$B$2:$B$1201,$A15,Data!$J$2:$J$1201,"RTO")</f>
        <v>0</v>
      </c>
      <c r="H15" s="33" t="n">
        <f aca="false">IFERROR(D15/B15,0)</f>
        <v>0.8125</v>
      </c>
      <c r="I15" s="33" t="n">
        <f aca="false">IFERROR(E15/B15,0)</f>
        <v>0.125</v>
      </c>
      <c r="J15" s="31" t="n">
        <f aca="false">COUNTIFS(Data!$B$2:$B$1201,$A15,Data!$I$2:$I$1201,"COD")</f>
        <v>5</v>
      </c>
    </row>
    <row r="16" customFormat="false" ht="15" hidden="false" customHeight="false" outlineLevel="0" collapsed="false">
      <c r="A16" s="35" t="n">
        <v>46215</v>
      </c>
      <c r="B16" s="31" t="n">
        <f aca="false">COUNTIFS(Data!$B$2:$B$1201,A16)</f>
        <v>19</v>
      </c>
      <c r="C16" s="32" t="n">
        <f aca="false">SUMIFS(Data!$H$2:$H$1201,Data!$B$2:$B$1201,A16)</f>
        <v>13882</v>
      </c>
      <c r="D16" s="31" t="n">
        <f aca="false">COUNTIFS(Data!$B$2:$B$1201,$A16,Data!$J$2:$J$1201,"Delivered")</f>
        <v>16</v>
      </c>
      <c r="E16" s="31" t="n">
        <f aca="false">COUNTIFS(Data!$B$2:$B$1201,$A16,Data!$J$2:$J$1201,"Returned")</f>
        <v>2</v>
      </c>
      <c r="F16" s="31" t="n">
        <f aca="false">COUNTIFS(Data!$B$2:$B$1201,$A16,Data!$J$2:$J$1201,"Cancelled")</f>
        <v>0</v>
      </c>
      <c r="G16" s="31" t="n">
        <f aca="false">COUNTIFS(Data!$B$2:$B$1201,$A16,Data!$J$2:$J$1201,"RTO")</f>
        <v>1</v>
      </c>
      <c r="H16" s="33" t="n">
        <f aca="false">IFERROR(D16/B16,0)</f>
        <v>0.842105263157895</v>
      </c>
      <c r="I16" s="33" t="n">
        <f aca="false">IFERROR(E16/B16,0)</f>
        <v>0.105263157894737</v>
      </c>
      <c r="J16" s="31" t="n">
        <f aca="false">COUNTIFS(Data!$B$2:$B$1201,$A16,Data!$I$2:$I$1201,"COD")</f>
        <v>7</v>
      </c>
    </row>
    <row r="17" customFormat="false" ht="15" hidden="false" customHeight="false" outlineLevel="0" collapsed="false">
      <c r="A17" s="35" t="n">
        <v>46216</v>
      </c>
      <c r="B17" s="31" t="n">
        <f aca="false">COUNTIFS(Data!$B$2:$B$1201,A17)</f>
        <v>7</v>
      </c>
      <c r="C17" s="32" t="n">
        <f aca="false">SUMIFS(Data!$H$2:$H$1201,Data!$B$2:$B$1201,A17)</f>
        <v>7988</v>
      </c>
      <c r="D17" s="31" t="n">
        <f aca="false">COUNTIFS(Data!$B$2:$B$1201,$A17,Data!$J$2:$J$1201,"Delivered")</f>
        <v>6</v>
      </c>
      <c r="E17" s="31" t="n">
        <f aca="false">COUNTIFS(Data!$B$2:$B$1201,$A17,Data!$J$2:$J$1201,"Returned")</f>
        <v>1</v>
      </c>
      <c r="F17" s="31" t="n">
        <f aca="false">COUNTIFS(Data!$B$2:$B$1201,$A17,Data!$J$2:$J$1201,"Cancelled")</f>
        <v>0</v>
      </c>
      <c r="G17" s="31" t="n">
        <f aca="false">COUNTIFS(Data!$B$2:$B$1201,$A17,Data!$J$2:$J$1201,"RTO")</f>
        <v>0</v>
      </c>
      <c r="H17" s="33" t="n">
        <f aca="false">IFERROR(D17/B17,0)</f>
        <v>0.857142857142857</v>
      </c>
      <c r="I17" s="33" t="n">
        <f aca="false">IFERROR(E17/B17,0)</f>
        <v>0.142857142857143</v>
      </c>
      <c r="J17" s="31" t="n">
        <f aca="false">COUNTIFS(Data!$B$2:$B$1201,$A17,Data!$I$2:$I$1201,"COD")</f>
        <v>2</v>
      </c>
    </row>
    <row r="18" customFormat="false" ht="15" hidden="false" customHeight="false" outlineLevel="0" collapsed="false">
      <c r="A18" s="35" t="n">
        <v>46217</v>
      </c>
      <c r="B18" s="31" t="n">
        <f aca="false">COUNTIFS(Data!$B$2:$B$1201,A18)</f>
        <v>9</v>
      </c>
      <c r="C18" s="32" t="n">
        <f aca="false">SUMIFS(Data!$H$2:$H$1201,Data!$B$2:$B$1201,A18)</f>
        <v>5846</v>
      </c>
      <c r="D18" s="31" t="n">
        <f aca="false">COUNTIFS(Data!$B$2:$B$1201,$A18,Data!$J$2:$J$1201,"Delivered")</f>
        <v>9</v>
      </c>
      <c r="E18" s="31" t="n">
        <f aca="false">COUNTIFS(Data!$B$2:$B$1201,$A18,Data!$J$2:$J$1201,"Returned")</f>
        <v>0</v>
      </c>
      <c r="F18" s="31" t="n">
        <f aca="false">COUNTIFS(Data!$B$2:$B$1201,$A18,Data!$J$2:$J$1201,"Cancelled")</f>
        <v>0</v>
      </c>
      <c r="G18" s="31" t="n">
        <f aca="false">COUNTIFS(Data!$B$2:$B$1201,$A18,Data!$J$2:$J$1201,"RTO")</f>
        <v>0</v>
      </c>
      <c r="H18" s="33" t="n">
        <f aca="false">IFERROR(D18/B18,0)</f>
        <v>1</v>
      </c>
      <c r="I18" s="33" t="n">
        <f aca="false">IFERROR(E18/B18,0)</f>
        <v>0</v>
      </c>
      <c r="J18" s="31" t="n">
        <f aca="false">COUNTIFS(Data!$B$2:$B$1201,$A18,Data!$I$2:$I$1201,"COD")</f>
        <v>1</v>
      </c>
    </row>
    <row r="19" customFormat="false" ht="15" hidden="false" customHeight="false" outlineLevel="0" collapsed="false">
      <c r="A19" s="35" t="n">
        <v>46218</v>
      </c>
      <c r="B19" s="31" t="n">
        <f aca="false">COUNTIFS(Data!$B$2:$B$1201,A19)</f>
        <v>7</v>
      </c>
      <c r="C19" s="32" t="n">
        <f aca="false">SUMIFS(Data!$H$2:$H$1201,Data!$B$2:$B$1201,A19)</f>
        <v>7394</v>
      </c>
      <c r="D19" s="31" t="n">
        <f aca="false">COUNTIFS(Data!$B$2:$B$1201,$A19,Data!$J$2:$J$1201,"Delivered")</f>
        <v>4</v>
      </c>
      <c r="E19" s="31" t="n">
        <f aca="false">COUNTIFS(Data!$B$2:$B$1201,$A19,Data!$J$2:$J$1201,"Returned")</f>
        <v>0</v>
      </c>
      <c r="F19" s="31" t="n">
        <f aca="false">COUNTIFS(Data!$B$2:$B$1201,$A19,Data!$J$2:$J$1201,"Cancelled")</f>
        <v>1</v>
      </c>
      <c r="G19" s="31" t="n">
        <f aca="false">COUNTIFS(Data!$B$2:$B$1201,$A19,Data!$J$2:$J$1201,"RTO")</f>
        <v>2</v>
      </c>
      <c r="H19" s="33" t="n">
        <f aca="false">IFERROR(D19/B19,0)</f>
        <v>0.571428571428571</v>
      </c>
      <c r="I19" s="33" t="n">
        <f aca="false">IFERROR(E19/B19,0)</f>
        <v>0</v>
      </c>
      <c r="J19" s="31" t="n">
        <f aca="false">COUNTIFS(Data!$B$2:$B$1201,$A19,Data!$I$2:$I$1201,"COD")</f>
        <v>3</v>
      </c>
    </row>
    <row r="20" customFormat="false" ht="15" hidden="false" customHeight="false" outlineLevel="0" collapsed="false">
      <c r="A20" s="35" t="n">
        <v>46219</v>
      </c>
      <c r="B20" s="31" t="n">
        <f aca="false">COUNTIFS(Data!$B$2:$B$1201,A20)</f>
        <v>11</v>
      </c>
      <c r="C20" s="32" t="n">
        <f aca="false">SUMIFS(Data!$H$2:$H$1201,Data!$B$2:$B$1201,A20)</f>
        <v>8390</v>
      </c>
      <c r="D20" s="31" t="n">
        <f aca="false">COUNTIFS(Data!$B$2:$B$1201,$A20,Data!$J$2:$J$1201,"Delivered")</f>
        <v>9</v>
      </c>
      <c r="E20" s="31" t="n">
        <f aca="false">COUNTIFS(Data!$B$2:$B$1201,$A20,Data!$J$2:$J$1201,"Returned")</f>
        <v>1</v>
      </c>
      <c r="F20" s="31" t="n">
        <f aca="false">COUNTIFS(Data!$B$2:$B$1201,$A20,Data!$J$2:$J$1201,"Cancelled")</f>
        <v>0</v>
      </c>
      <c r="G20" s="31" t="n">
        <f aca="false">COUNTIFS(Data!$B$2:$B$1201,$A20,Data!$J$2:$J$1201,"RTO")</f>
        <v>1</v>
      </c>
      <c r="H20" s="33" t="n">
        <f aca="false">IFERROR(D20/B20,0)</f>
        <v>0.818181818181818</v>
      </c>
      <c r="I20" s="33" t="n">
        <f aca="false">IFERROR(E20/B20,0)</f>
        <v>0.0909090909090909</v>
      </c>
      <c r="J20" s="31" t="n">
        <f aca="false">COUNTIFS(Data!$B$2:$B$1201,$A20,Data!$I$2:$I$1201,"COD")</f>
        <v>3</v>
      </c>
    </row>
    <row r="21" customFormat="false" ht="15" hidden="false" customHeight="false" outlineLevel="0" collapsed="false">
      <c r="A21" s="35" t="n">
        <v>46220</v>
      </c>
      <c r="B21" s="31" t="n">
        <f aca="false">COUNTIFS(Data!$B$2:$B$1201,A21)</f>
        <v>14</v>
      </c>
      <c r="C21" s="32" t="n">
        <f aca="false">SUMIFS(Data!$H$2:$H$1201,Data!$B$2:$B$1201,A21)</f>
        <v>9406</v>
      </c>
      <c r="D21" s="31" t="n">
        <f aca="false">COUNTIFS(Data!$B$2:$B$1201,$A21,Data!$J$2:$J$1201,"Delivered")</f>
        <v>10</v>
      </c>
      <c r="E21" s="31" t="n">
        <f aca="false">COUNTIFS(Data!$B$2:$B$1201,$A21,Data!$J$2:$J$1201,"Returned")</f>
        <v>1</v>
      </c>
      <c r="F21" s="31" t="n">
        <f aca="false">COUNTIFS(Data!$B$2:$B$1201,$A21,Data!$J$2:$J$1201,"Cancelled")</f>
        <v>1</v>
      </c>
      <c r="G21" s="31" t="n">
        <f aca="false">COUNTIFS(Data!$B$2:$B$1201,$A21,Data!$J$2:$J$1201,"RTO")</f>
        <v>2</v>
      </c>
      <c r="H21" s="33" t="n">
        <f aca="false">IFERROR(D21/B21,0)</f>
        <v>0.714285714285714</v>
      </c>
      <c r="I21" s="33" t="n">
        <f aca="false">IFERROR(E21/B21,0)</f>
        <v>0.0714285714285714</v>
      </c>
      <c r="J21" s="31" t="n">
        <f aca="false">COUNTIFS(Data!$B$2:$B$1201,$A21,Data!$I$2:$I$1201,"COD")</f>
        <v>5</v>
      </c>
    </row>
    <row r="22" customFormat="false" ht="15" hidden="false" customHeight="false" outlineLevel="0" collapsed="false">
      <c r="A22" s="35" t="n">
        <v>46221</v>
      </c>
      <c r="B22" s="31" t="n">
        <f aca="false">COUNTIFS(Data!$B$2:$B$1201,A22)</f>
        <v>20</v>
      </c>
      <c r="C22" s="32" t="n">
        <f aca="false">SUMIFS(Data!$H$2:$H$1201,Data!$B$2:$B$1201,A22)</f>
        <v>15436</v>
      </c>
      <c r="D22" s="31" t="n">
        <f aca="false">COUNTIFS(Data!$B$2:$B$1201,$A22,Data!$J$2:$J$1201,"Delivered")</f>
        <v>15</v>
      </c>
      <c r="E22" s="31" t="n">
        <f aca="false">COUNTIFS(Data!$B$2:$B$1201,$A22,Data!$J$2:$J$1201,"Returned")</f>
        <v>2</v>
      </c>
      <c r="F22" s="31" t="n">
        <f aca="false">COUNTIFS(Data!$B$2:$B$1201,$A22,Data!$J$2:$J$1201,"Cancelled")</f>
        <v>2</v>
      </c>
      <c r="G22" s="31" t="n">
        <f aca="false">COUNTIFS(Data!$B$2:$B$1201,$A22,Data!$J$2:$J$1201,"RTO")</f>
        <v>1</v>
      </c>
      <c r="H22" s="33" t="n">
        <f aca="false">IFERROR(D22/B22,0)</f>
        <v>0.75</v>
      </c>
      <c r="I22" s="33" t="n">
        <f aca="false">IFERROR(E22/B22,0)</f>
        <v>0.1</v>
      </c>
      <c r="J22" s="31" t="n">
        <f aca="false">COUNTIFS(Data!$B$2:$B$1201,$A22,Data!$I$2:$I$1201,"COD")</f>
        <v>9</v>
      </c>
    </row>
    <row r="23" customFormat="false" ht="15" hidden="false" customHeight="false" outlineLevel="0" collapsed="false">
      <c r="A23" s="35" t="n">
        <v>46222</v>
      </c>
      <c r="B23" s="31" t="n">
        <f aca="false">COUNTIFS(Data!$B$2:$B$1201,A23)</f>
        <v>14</v>
      </c>
      <c r="C23" s="32" t="n">
        <f aca="false">SUMIFS(Data!$H$2:$H$1201,Data!$B$2:$B$1201,A23)</f>
        <v>11494</v>
      </c>
      <c r="D23" s="31" t="n">
        <f aca="false">COUNTIFS(Data!$B$2:$B$1201,$A23,Data!$J$2:$J$1201,"Delivered")</f>
        <v>12</v>
      </c>
      <c r="E23" s="31" t="n">
        <f aca="false">COUNTIFS(Data!$B$2:$B$1201,$A23,Data!$J$2:$J$1201,"Returned")</f>
        <v>1</v>
      </c>
      <c r="F23" s="31" t="n">
        <f aca="false">COUNTIFS(Data!$B$2:$B$1201,$A23,Data!$J$2:$J$1201,"Cancelled")</f>
        <v>0</v>
      </c>
      <c r="G23" s="31" t="n">
        <f aca="false">COUNTIFS(Data!$B$2:$B$1201,$A23,Data!$J$2:$J$1201,"RTO")</f>
        <v>1</v>
      </c>
      <c r="H23" s="33" t="n">
        <f aca="false">IFERROR(D23/B23,0)</f>
        <v>0.857142857142857</v>
      </c>
      <c r="I23" s="33" t="n">
        <f aca="false">IFERROR(E23/B23,0)</f>
        <v>0.0714285714285714</v>
      </c>
      <c r="J23" s="31" t="n">
        <f aca="false">COUNTIFS(Data!$B$2:$B$1201,$A23,Data!$I$2:$I$1201,"COD")</f>
        <v>6</v>
      </c>
    </row>
    <row r="24" customFormat="false" ht="15" hidden="false" customHeight="false" outlineLevel="0" collapsed="false">
      <c r="A24" s="35" t="n">
        <v>46223</v>
      </c>
      <c r="B24" s="31" t="n">
        <f aca="false">COUNTIFS(Data!$B$2:$B$1201,A24)</f>
        <v>11</v>
      </c>
      <c r="C24" s="32" t="n">
        <f aca="false">SUMIFS(Data!$H$2:$H$1201,Data!$B$2:$B$1201,A24)</f>
        <v>8226</v>
      </c>
      <c r="D24" s="31" t="n">
        <f aca="false">COUNTIFS(Data!$B$2:$B$1201,$A24,Data!$J$2:$J$1201,"Delivered")</f>
        <v>10</v>
      </c>
      <c r="E24" s="31" t="n">
        <f aca="false">COUNTIFS(Data!$B$2:$B$1201,$A24,Data!$J$2:$J$1201,"Returned")</f>
        <v>1</v>
      </c>
      <c r="F24" s="31" t="n">
        <f aca="false">COUNTIFS(Data!$B$2:$B$1201,$A24,Data!$J$2:$J$1201,"Cancelled")</f>
        <v>0</v>
      </c>
      <c r="G24" s="31" t="n">
        <f aca="false">COUNTIFS(Data!$B$2:$B$1201,$A24,Data!$J$2:$J$1201,"RTO")</f>
        <v>0</v>
      </c>
      <c r="H24" s="33" t="n">
        <f aca="false">IFERROR(D24/B24,0)</f>
        <v>0.909090909090909</v>
      </c>
      <c r="I24" s="33" t="n">
        <f aca="false">IFERROR(E24/B24,0)</f>
        <v>0.0909090909090909</v>
      </c>
      <c r="J24" s="31" t="n">
        <f aca="false">COUNTIFS(Data!$B$2:$B$1201,$A24,Data!$I$2:$I$1201,"COD")</f>
        <v>5</v>
      </c>
    </row>
    <row r="25" customFormat="false" ht="15" hidden="false" customHeight="false" outlineLevel="0" collapsed="false">
      <c r="A25" s="35" t="n">
        <v>46224</v>
      </c>
      <c r="B25" s="31" t="n">
        <f aca="false">COUNTIFS(Data!$B$2:$B$1201,A25)</f>
        <v>11</v>
      </c>
      <c r="C25" s="32" t="n">
        <f aca="false">SUMIFS(Data!$H$2:$H$1201,Data!$B$2:$B$1201,A25)</f>
        <v>12066</v>
      </c>
      <c r="D25" s="31" t="n">
        <f aca="false">COUNTIFS(Data!$B$2:$B$1201,$A25,Data!$J$2:$J$1201,"Delivered")</f>
        <v>8</v>
      </c>
      <c r="E25" s="31" t="n">
        <f aca="false">COUNTIFS(Data!$B$2:$B$1201,$A25,Data!$J$2:$J$1201,"Returned")</f>
        <v>2</v>
      </c>
      <c r="F25" s="31" t="n">
        <f aca="false">COUNTIFS(Data!$B$2:$B$1201,$A25,Data!$J$2:$J$1201,"Cancelled")</f>
        <v>0</v>
      </c>
      <c r="G25" s="31" t="n">
        <f aca="false">COUNTIFS(Data!$B$2:$B$1201,$A25,Data!$J$2:$J$1201,"RTO")</f>
        <v>1</v>
      </c>
      <c r="H25" s="33" t="n">
        <f aca="false">IFERROR(D25/B25,0)</f>
        <v>0.727272727272727</v>
      </c>
      <c r="I25" s="33" t="n">
        <f aca="false">IFERROR(E25/B25,0)</f>
        <v>0.181818181818182</v>
      </c>
      <c r="J25" s="31" t="n">
        <f aca="false">COUNTIFS(Data!$B$2:$B$1201,$A25,Data!$I$2:$I$1201,"COD")</f>
        <v>6</v>
      </c>
    </row>
    <row r="26" customFormat="false" ht="15" hidden="false" customHeight="false" outlineLevel="0" collapsed="false">
      <c r="A26" s="35" t="n">
        <v>46225</v>
      </c>
      <c r="B26" s="31" t="n">
        <f aca="false">COUNTIFS(Data!$B$2:$B$1201,A26)</f>
        <v>13</v>
      </c>
      <c r="C26" s="32" t="n">
        <f aca="false">SUMIFS(Data!$H$2:$H$1201,Data!$B$2:$B$1201,A26)</f>
        <v>10716</v>
      </c>
      <c r="D26" s="31" t="n">
        <f aca="false">COUNTIFS(Data!$B$2:$B$1201,$A26,Data!$J$2:$J$1201,"Delivered")</f>
        <v>11</v>
      </c>
      <c r="E26" s="31" t="n">
        <f aca="false">COUNTIFS(Data!$B$2:$B$1201,$A26,Data!$J$2:$J$1201,"Returned")</f>
        <v>1</v>
      </c>
      <c r="F26" s="31" t="n">
        <f aca="false">COUNTIFS(Data!$B$2:$B$1201,$A26,Data!$J$2:$J$1201,"Cancelled")</f>
        <v>1</v>
      </c>
      <c r="G26" s="31" t="n">
        <f aca="false">COUNTIFS(Data!$B$2:$B$1201,$A26,Data!$J$2:$J$1201,"RTO")</f>
        <v>0</v>
      </c>
      <c r="H26" s="33" t="n">
        <f aca="false">IFERROR(D26/B26,0)</f>
        <v>0.846153846153846</v>
      </c>
      <c r="I26" s="33" t="n">
        <f aca="false">IFERROR(E26/B26,0)</f>
        <v>0.0769230769230769</v>
      </c>
      <c r="J26" s="31" t="n">
        <f aca="false">COUNTIFS(Data!$B$2:$B$1201,$A26,Data!$I$2:$I$1201,"COD")</f>
        <v>4</v>
      </c>
    </row>
    <row r="27" customFormat="false" ht="15" hidden="false" customHeight="false" outlineLevel="0" collapsed="false">
      <c r="A27" s="35" t="n">
        <v>46226</v>
      </c>
      <c r="B27" s="31" t="n">
        <f aca="false">COUNTIFS(Data!$B$2:$B$1201,A27)</f>
        <v>13</v>
      </c>
      <c r="C27" s="32" t="n">
        <f aca="false">SUMIFS(Data!$H$2:$H$1201,Data!$B$2:$B$1201,A27)</f>
        <v>10752</v>
      </c>
      <c r="D27" s="31" t="n">
        <f aca="false">COUNTIFS(Data!$B$2:$B$1201,$A27,Data!$J$2:$J$1201,"Delivered")</f>
        <v>12</v>
      </c>
      <c r="E27" s="31" t="n">
        <f aca="false">COUNTIFS(Data!$B$2:$B$1201,$A27,Data!$J$2:$J$1201,"Returned")</f>
        <v>0</v>
      </c>
      <c r="F27" s="31" t="n">
        <f aca="false">COUNTIFS(Data!$B$2:$B$1201,$A27,Data!$J$2:$J$1201,"Cancelled")</f>
        <v>0</v>
      </c>
      <c r="G27" s="31" t="n">
        <f aca="false">COUNTIFS(Data!$B$2:$B$1201,$A27,Data!$J$2:$J$1201,"RTO")</f>
        <v>1</v>
      </c>
      <c r="H27" s="33" t="n">
        <f aca="false">IFERROR(D27/B27,0)</f>
        <v>0.923076923076923</v>
      </c>
      <c r="I27" s="33" t="n">
        <f aca="false">IFERROR(E27/B27,0)</f>
        <v>0</v>
      </c>
      <c r="J27" s="31" t="n">
        <f aca="false">COUNTIFS(Data!$B$2:$B$1201,$A27,Data!$I$2:$I$1201,"COD")</f>
        <v>5</v>
      </c>
    </row>
    <row r="28" customFormat="false" ht="15" hidden="false" customHeight="false" outlineLevel="0" collapsed="false">
      <c r="A28" s="35" t="n">
        <v>46227</v>
      </c>
      <c r="B28" s="31" t="n">
        <f aca="false">COUNTIFS(Data!$B$2:$B$1201,A28)</f>
        <v>12</v>
      </c>
      <c r="C28" s="32" t="n">
        <f aca="false">SUMIFS(Data!$H$2:$H$1201,Data!$B$2:$B$1201,A28)</f>
        <v>9304</v>
      </c>
      <c r="D28" s="31" t="n">
        <f aca="false">COUNTIFS(Data!$B$2:$B$1201,$A28,Data!$J$2:$J$1201,"Delivered")</f>
        <v>10</v>
      </c>
      <c r="E28" s="31" t="n">
        <f aca="false">COUNTIFS(Data!$B$2:$B$1201,$A28,Data!$J$2:$J$1201,"Returned")</f>
        <v>1</v>
      </c>
      <c r="F28" s="31" t="n">
        <f aca="false">COUNTIFS(Data!$B$2:$B$1201,$A28,Data!$J$2:$J$1201,"Cancelled")</f>
        <v>1</v>
      </c>
      <c r="G28" s="31" t="n">
        <f aca="false">COUNTIFS(Data!$B$2:$B$1201,$A28,Data!$J$2:$J$1201,"RTO")</f>
        <v>0</v>
      </c>
      <c r="H28" s="33" t="n">
        <f aca="false">IFERROR(D28/B28,0)</f>
        <v>0.833333333333333</v>
      </c>
      <c r="I28" s="33" t="n">
        <f aca="false">IFERROR(E28/B28,0)</f>
        <v>0.0833333333333333</v>
      </c>
      <c r="J28" s="31" t="n">
        <f aca="false">COUNTIFS(Data!$B$2:$B$1201,$A28,Data!$I$2:$I$1201,"COD")</f>
        <v>8</v>
      </c>
    </row>
    <row r="29" customFormat="false" ht="15" hidden="false" customHeight="false" outlineLevel="0" collapsed="false">
      <c r="A29" s="35" t="n">
        <v>46228</v>
      </c>
      <c r="B29" s="31" t="n">
        <f aca="false">COUNTIFS(Data!$B$2:$B$1201,A29)</f>
        <v>17</v>
      </c>
      <c r="C29" s="32" t="n">
        <f aca="false">SUMIFS(Data!$H$2:$H$1201,Data!$B$2:$B$1201,A29)</f>
        <v>12176</v>
      </c>
      <c r="D29" s="31" t="n">
        <f aca="false">COUNTIFS(Data!$B$2:$B$1201,$A29,Data!$J$2:$J$1201,"Delivered")</f>
        <v>13</v>
      </c>
      <c r="E29" s="31" t="n">
        <f aca="false">COUNTIFS(Data!$B$2:$B$1201,$A29,Data!$J$2:$J$1201,"Returned")</f>
        <v>1</v>
      </c>
      <c r="F29" s="31" t="n">
        <f aca="false">COUNTIFS(Data!$B$2:$B$1201,$A29,Data!$J$2:$J$1201,"Cancelled")</f>
        <v>1</v>
      </c>
      <c r="G29" s="31" t="n">
        <f aca="false">COUNTIFS(Data!$B$2:$B$1201,$A29,Data!$J$2:$J$1201,"RTO")</f>
        <v>2</v>
      </c>
      <c r="H29" s="33" t="n">
        <f aca="false">IFERROR(D29/B29,0)</f>
        <v>0.764705882352941</v>
      </c>
      <c r="I29" s="33" t="n">
        <f aca="false">IFERROR(E29/B29,0)</f>
        <v>0.0588235294117647</v>
      </c>
      <c r="J29" s="31" t="n">
        <f aca="false">COUNTIFS(Data!$B$2:$B$1201,$A29,Data!$I$2:$I$1201,"COD")</f>
        <v>6</v>
      </c>
    </row>
    <row r="30" customFormat="false" ht="15" hidden="false" customHeight="false" outlineLevel="0" collapsed="false">
      <c r="A30" s="35" t="n">
        <v>46229</v>
      </c>
      <c r="B30" s="31" t="n">
        <f aca="false">COUNTIFS(Data!$B$2:$B$1201,A30)</f>
        <v>14</v>
      </c>
      <c r="C30" s="32" t="n">
        <f aca="false">SUMIFS(Data!$H$2:$H$1201,Data!$B$2:$B$1201,A30)</f>
        <v>11802</v>
      </c>
      <c r="D30" s="31" t="n">
        <f aca="false">COUNTIFS(Data!$B$2:$B$1201,$A30,Data!$J$2:$J$1201,"Delivered")</f>
        <v>12</v>
      </c>
      <c r="E30" s="31" t="n">
        <f aca="false">COUNTIFS(Data!$B$2:$B$1201,$A30,Data!$J$2:$J$1201,"Returned")</f>
        <v>1</v>
      </c>
      <c r="F30" s="31" t="n">
        <f aca="false">COUNTIFS(Data!$B$2:$B$1201,$A30,Data!$J$2:$J$1201,"Cancelled")</f>
        <v>0</v>
      </c>
      <c r="G30" s="31" t="n">
        <f aca="false">COUNTIFS(Data!$B$2:$B$1201,$A30,Data!$J$2:$J$1201,"RTO")</f>
        <v>1</v>
      </c>
      <c r="H30" s="33" t="n">
        <f aca="false">IFERROR(D30/B30,0)</f>
        <v>0.857142857142857</v>
      </c>
      <c r="I30" s="33" t="n">
        <f aca="false">IFERROR(E30/B30,0)</f>
        <v>0.0714285714285714</v>
      </c>
      <c r="J30" s="31" t="n">
        <f aca="false">COUNTIFS(Data!$B$2:$B$1201,$A30,Data!$I$2:$I$1201,"COD")</f>
        <v>4</v>
      </c>
    </row>
    <row r="31" customFormat="false" ht="15" hidden="false" customHeight="false" outlineLevel="0" collapsed="false">
      <c r="A31" s="35" t="n">
        <v>46230</v>
      </c>
      <c r="B31" s="31" t="n">
        <f aca="false">COUNTIFS(Data!$B$2:$B$1201,A31)</f>
        <v>10</v>
      </c>
      <c r="C31" s="32" t="n">
        <f aca="false">SUMIFS(Data!$H$2:$H$1201,Data!$B$2:$B$1201,A31)</f>
        <v>5470</v>
      </c>
      <c r="D31" s="31" t="n">
        <f aca="false">COUNTIFS(Data!$B$2:$B$1201,$A31,Data!$J$2:$J$1201,"Delivered")</f>
        <v>8</v>
      </c>
      <c r="E31" s="31" t="n">
        <f aca="false">COUNTIFS(Data!$B$2:$B$1201,$A31,Data!$J$2:$J$1201,"Returned")</f>
        <v>0</v>
      </c>
      <c r="F31" s="31" t="n">
        <f aca="false">COUNTIFS(Data!$B$2:$B$1201,$A31,Data!$J$2:$J$1201,"Cancelled")</f>
        <v>0</v>
      </c>
      <c r="G31" s="31" t="n">
        <f aca="false">COUNTIFS(Data!$B$2:$B$1201,$A31,Data!$J$2:$J$1201,"RTO")</f>
        <v>2</v>
      </c>
      <c r="H31" s="33" t="n">
        <f aca="false">IFERROR(D31/B31,0)</f>
        <v>0.8</v>
      </c>
      <c r="I31" s="33" t="n">
        <f aca="false">IFERROR(E31/B31,0)</f>
        <v>0</v>
      </c>
      <c r="J31" s="31" t="n">
        <f aca="false">COUNTIFS(Data!$B$2:$B$1201,$A31,Data!$I$2:$I$1201,"COD")</f>
        <v>5</v>
      </c>
    </row>
    <row r="32" customFormat="false" ht="15" hidden="false" customHeight="false" outlineLevel="0" collapsed="false">
      <c r="A32" s="35" t="n">
        <v>46231</v>
      </c>
      <c r="B32" s="31" t="n">
        <f aca="false">COUNTIFS(Data!$B$2:$B$1201,A32)</f>
        <v>10</v>
      </c>
      <c r="C32" s="32" t="n">
        <f aca="false">SUMIFS(Data!$H$2:$H$1201,Data!$B$2:$B$1201,A32)</f>
        <v>10146</v>
      </c>
      <c r="D32" s="31" t="n">
        <f aca="false">COUNTIFS(Data!$B$2:$B$1201,$A32,Data!$J$2:$J$1201,"Delivered")</f>
        <v>8</v>
      </c>
      <c r="E32" s="31" t="n">
        <f aca="false">COUNTIFS(Data!$B$2:$B$1201,$A32,Data!$J$2:$J$1201,"Returned")</f>
        <v>0</v>
      </c>
      <c r="F32" s="31" t="n">
        <f aca="false">COUNTIFS(Data!$B$2:$B$1201,$A32,Data!$J$2:$J$1201,"Cancelled")</f>
        <v>1</v>
      </c>
      <c r="G32" s="31" t="n">
        <f aca="false">COUNTIFS(Data!$B$2:$B$1201,$A32,Data!$J$2:$J$1201,"RTO")</f>
        <v>1</v>
      </c>
      <c r="H32" s="33" t="n">
        <f aca="false">IFERROR(D32/B32,0)</f>
        <v>0.8</v>
      </c>
      <c r="I32" s="33" t="n">
        <f aca="false">IFERROR(E32/B32,0)</f>
        <v>0</v>
      </c>
      <c r="J32" s="31" t="n">
        <f aca="false">COUNTIFS(Data!$B$2:$B$1201,$A32,Data!$I$2:$I$1201,"COD")</f>
        <v>1</v>
      </c>
    </row>
    <row r="33" customFormat="false" ht="15" hidden="false" customHeight="false" outlineLevel="0" collapsed="false">
      <c r="A33" s="35" t="n">
        <v>46232</v>
      </c>
      <c r="B33" s="31" t="n">
        <f aca="false">COUNTIFS(Data!$B$2:$B$1201,A33)</f>
        <v>9</v>
      </c>
      <c r="C33" s="32" t="n">
        <f aca="false">SUMIFS(Data!$H$2:$H$1201,Data!$B$2:$B$1201,A33)</f>
        <v>5682</v>
      </c>
      <c r="D33" s="31" t="n">
        <f aca="false">COUNTIFS(Data!$B$2:$B$1201,$A33,Data!$J$2:$J$1201,"Delivered")</f>
        <v>9</v>
      </c>
      <c r="E33" s="31" t="n">
        <f aca="false">COUNTIFS(Data!$B$2:$B$1201,$A33,Data!$J$2:$J$1201,"Returned")</f>
        <v>0</v>
      </c>
      <c r="F33" s="31" t="n">
        <f aca="false">COUNTIFS(Data!$B$2:$B$1201,$A33,Data!$J$2:$J$1201,"Cancelled")</f>
        <v>0</v>
      </c>
      <c r="G33" s="31" t="n">
        <f aca="false">COUNTIFS(Data!$B$2:$B$1201,$A33,Data!$J$2:$J$1201,"RTO")</f>
        <v>0</v>
      </c>
      <c r="H33" s="33" t="n">
        <f aca="false">IFERROR(D33/B33,0)</f>
        <v>1</v>
      </c>
      <c r="I33" s="33" t="n">
        <f aca="false">IFERROR(E33/B33,0)</f>
        <v>0</v>
      </c>
      <c r="J33" s="31" t="n">
        <f aca="false">COUNTIFS(Data!$B$2:$B$1201,$A33,Data!$I$2:$I$1201,"COD")</f>
        <v>4</v>
      </c>
    </row>
    <row r="34" customFormat="false" ht="15" hidden="false" customHeight="false" outlineLevel="0" collapsed="false">
      <c r="A34" s="35" t="n">
        <v>46233</v>
      </c>
      <c r="B34" s="31" t="n">
        <f aca="false">COUNTIFS(Data!$B$2:$B$1201,A34)</f>
        <v>10</v>
      </c>
      <c r="C34" s="32" t="n">
        <f aca="false">SUMIFS(Data!$H$2:$H$1201,Data!$B$2:$B$1201,A34)</f>
        <v>10308</v>
      </c>
      <c r="D34" s="31" t="n">
        <f aca="false">COUNTIFS(Data!$B$2:$B$1201,$A34,Data!$J$2:$J$1201,"Delivered")</f>
        <v>7</v>
      </c>
      <c r="E34" s="31" t="n">
        <f aca="false">COUNTIFS(Data!$B$2:$B$1201,$A34,Data!$J$2:$J$1201,"Returned")</f>
        <v>2</v>
      </c>
      <c r="F34" s="31" t="n">
        <f aca="false">COUNTIFS(Data!$B$2:$B$1201,$A34,Data!$J$2:$J$1201,"Cancelled")</f>
        <v>0</v>
      </c>
      <c r="G34" s="31" t="n">
        <f aca="false">COUNTIFS(Data!$B$2:$B$1201,$A34,Data!$J$2:$J$1201,"RTO")</f>
        <v>1</v>
      </c>
      <c r="H34" s="33" t="n">
        <f aca="false">IFERROR(D34/B34,0)</f>
        <v>0.7</v>
      </c>
      <c r="I34" s="33" t="n">
        <f aca="false">IFERROR(E34/B34,0)</f>
        <v>0.2</v>
      </c>
      <c r="J34" s="31" t="n">
        <f aca="false">COUNTIFS(Data!$B$2:$B$1201,$A34,Data!$I$2:$I$1201,"COD")</f>
        <v>4</v>
      </c>
    </row>
    <row r="35" customFormat="false" ht="15" hidden="false" customHeight="false" outlineLevel="0" collapsed="false">
      <c r="A35" s="35" t="n">
        <v>46234</v>
      </c>
      <c r="B35" s="31" t="n">
        <f aca="false">COUNTIFS(Data!$B$2:$B$1201,A35)</f>
        <v>8</v>
      </c>
      <c r="C35" s="32" t="n">
        <f aca="false">SUMIFS(Data!$H$2:$H$1201,Data!$B$2:$B$1201,A35)</f>
        <v>6768</v>
      </c>
      <c r="D35" s="31" t="n">
        <f aca="false">COUNTIFS(Data!$B$2:$B$1201,$A35,Data!$J$2:$J$1201,"Delivered")</f>
        <v>4</v>
      </c>
      <c r="E35" s="31" t="n">
        <f aca="false">COUNTIFS(Data!$B$2:$B$1201,$A35,Data!$J$2:$J$1201,"Returned")</f>
        <v>2</v>
      </c>
      <c r="F35" s="31" t="n">
        <f aca="false">COUNTIFS(Data!$B$2:$B$1201,$A35,Data!$J$2:$J$1201,"Cancelled")</f>
        <v>1</v>
      </c>
      <c r="G35" s="31" t="n">
        <f aca="false">COUNTIFS(Data!$B$2:$B$1201,$A35,Data!$J$2:$J$1201,"RTO")</f>
        <v>1</v>
      </c>
      <c r="H35" s="33" t="n">
        <f aca="false">IFERROR(D35/B35,0)</f>
        <v>0.5</v>
      </c>
      <c r="I35" s="33" t="n">
        <f aca="false">IFERROR(E35/B35,0)</f>
        <v>0.25</v>
      </c>
      <c r="J35" s="31" t="n">
        <f aca="false">COUNTIFS(Data!$B$2:$B$1201,$A35,Data!$I$2:$I$1201,"COD")</f>
        <v>2</v>
      </c>
    </row>
    <row r="36" customFormat="false" ht="15" hidden="false" customHeight="false" outlineLevel="0" collapsed="false">
      <c r="A36" s="35" t="n">
        <v>46235</v>
      </c>
      <c r="B36" s="31" t="n">
        <f aca="false">COUNTIFS(Data!$B$2:$B$1201,A36)</f>
        <v>12</v>
      </c>
      <c r="C36" s="32" t="n">
        <f aca="false">SUMIFS(Data!$H$2:$H$1201,Data!$B$2:$B$1201,A36)</f>
        <v>9916</v>
      </c>
      <c r="D36" s="31" t="n">
        <f aca="false">COUNTIFS(Data!$B$2:$B$1201,$A36,Data!$J$2:$J$1201,"Delivered")</f>
        <v>9</v>
      </c>
      <c r="E36" s="31" t="n">
        <f aca="false">COUNTIFS(Data!$B$2:$B$1201,$A36,Data!$J$2:$J$1201,"Returned")</f>
        <v>2</v>
      </c>
      <c r="F36" s="31" t="n">
        <f aca="false">COUNTIFS(Data!$B$2:$B$1201,$A36,Data!$J$2:$J$1201,"Cancelled")</f>
        <v>1</v>
      </c>
      <c r="G36" s="31" t="n">
        <f aca="false">COUNTIFS(Data!$B$2:$B$1201,$A36,Data!$J$2:$J$1201,"RTO")</f>
        <v>0</v>
      </c>
      <c r="H36" s="33" t="n">
        <f aca="false">IFERROR(D36/B36,0)</f>
        <v>0.75</v>
      </c>
      <c r="I36" s="33" t="n">
        <f aca="false">IFERROR(E36/B36,0)</f>
        <v>0.166666666666667</v>
      </c>
      <c r="J36" s="31" t="n">
        <f aca="false">COUNTIFS(Data!$B$2:$B$1201,$A36,Data!$I$2:$I$1201,"COD")</f>
        <v>5</v>
      </c>
    </row>
    <row r="37" customFormat="false" ht="15" hidden="false" customHeight="false" outlineLevel="0" collapsed="false">
      <c r="A37" s="35" t="n">
        <v>46236</v>
      </c>
      <c r="B37" s="31" t="n">
        <f aca="false">COUNTIFS(Data!$B$2:$B$1201,A37)</f>
        <v>22</v>
      </c>
      <c r="C37" s="32" t="n">
        <f aca="false">SUMIFS(Data!$H$2:$H$1201,Data!$B$2:$B$1201,A37)</f>
        <v>15380</v>
      </c>
      <c r="D37" s="31" t="n">
        <f aca="false">COUNTIFS(Data!$B$2:$B$1201,$A37,Data!$J$2:$J$1201,"Delivered")</f>
        <v>22</v>
      </c>
      <c r="E37" s="31" t="n">
        <f aca="false">COUNTIFS(Data!$B$2:$B$1201,$A37,Data!$J$2:$J$1201,"Returned")</f>
        <v>0</v>
      </c>
      <c r="F37" s="31" t="n">
        <f aca="false">COUNTIFS(Data!$B$2:$B$1201,$A37,Data!$J$2:$J$1201,"Cancelled")</f>
        <v>0</v>
      </c>
      <c r="G37" s="31" t="n">
        <f aca="false">COUNTIFS(Data!$B$2:$B$1201,$A37,Data!$J$2:$J$1201,"RTO")</f>
        <v>0</v>
      </c>
      <c r="H37" s="33" t="n">
        <f aca="false">IFERROR(D37/B37,0)</f>
        <v>1</v>
      </c>
      <c r="I37" s="33" t="n">
        <f aca="false">IFERROR(E37/B37,0)</f>
        <v>0</v>
      </c>
      <c r="J37" s="31" t="n">
        <f aca="false">COUNTIFS(Data!$B$2:$B$1201,$A37,Data!$I$2:$I$1201,"COD")</f>
        <v>6</v>
      </c>
    </row>
    <row r="38" customFormat="false" ht="15" hidden="false" customHeight="false" outlineLevel="0" collapsed="false">
      <c r="A38" s="35" t="n">
        <v>46237</v>
      </c>
      <c r="B38" s="31" t="n">
        <f aca="false">COUNTIFS(Data!$B$2:$B$1201,A38)</f>
        <v>13</v>
      </c>
      <c r="C38" s="32" t="n">
        <f aca="false">SUMIFS(Data!$H$2:$H$1201,Data!$B$2:$B$1201,A38)</f>
        <v>13240</v>
      </c>
      <c r="D38" s="31" t="n">
        <f aca="false">COUNTIFS(Data!$B$2:$B$1201,$A38,Data!$J$2:$J$1201,"Delivered")</f>
        <v>12</v>
      </c>
      <c r="E38" s="31" t="n">
        <f aca="false">COUNTIFS(Data!$B$2:$B$1201,$A38,Data!$J$2:$J$1201,"Returned")</f>
        <v>1</v>
      </c>
      <c r="F38" s="31" t="n">
        <f aca="false">COUNTIFS(Data!$B$2:$B$1201,$A38,Data!$J$2:$J$1201,"Cancelled")</f>
        <v>0</v>
      </c>
      <c r="G38" s="31" t="n">
        <f aca="false">COUNTIFS(Data!$B$2:$B$1201,$A38,Data!$J$2:$J$1201,"RTO")</f>
        <v>0</v>
      </c>
      <c r="H38" s="33" t="n">
        <f aca="false">IFERROR(D38/B38,0)</f>
        <v>0.923076923076923</v>
      </c>
      <c r="I38" s="33" t="n">
        <f aca="false">IFERROR(E38/B38,0)</f>
        <v>0.0769230769230769</v>
      </c>
      <c r="J38" s="31" t="n">
        <f aca="false">COUNTIFS(Data!$B$2:$B$1201,$A38,Data!$I$2:$I$1201,"COD")</f>
        <v>7</v>
      </c>
    </row>
    <row r="39" customFormat="false" ht="15" hidden="false" customHeight="false" outlineLevel="0" collapsed="false">
      <c r="A39" s="35" t="n">
        <v>46238</v>
      </c>
      <c r="B39" s="31" t="n">
        <f aca="false">COUNTIFS(Data!$B$2:$B$1201,A39)</f>
        <v>10</v>
      </c>
      <c r="C39" s="32" t="n">
        <f aca="false">SUMIFS(Data!$H$2:$H$1201,Data!$B$2:$B$1201,A39)</f>
        <v>7726</v>
      </c>
      <c r="D39" s="31" t="n">
        <f aca="false">COUNTIFS(Data!$B$2:$B$1201,$A39,Data!$J$2:$J$1201,"Delivered")</f>
        <v>8</v>
      </c>
      <c r="E39" s="31" t="n">
        <f aca="false">COUNTIFS(Data!$B$2:$B$1201,$A39,Data!$J$2:$J$1201,"Returned")</f>
        <v>1</v>
      </c>
      <c r="F39" s="31" t="n">
        <f aca="false">COUNTIFS(Data!$B$2:$B$1201,$A39,Data!$J$2:$J$1201,"Cancelled")</f>
        <v>1</v>
      </c>
      <c r="G39" s="31" t="n">
        <f aca="false">COUNTIFS(Data!$B$2:$B$1201,$A39,Data!$J$2:$J$1201,"RTO")</f>
        <v>0</v>
      </c>
      <c r="H39" s="33" t="n">
        <f aca="false">IFERROR(D39/B39,0)</f>
        <v>0.8</v>
      </c>
      <c r="I39" s="33" t="n">
        <f aca="false">IFERROR(E39/B39,0)</f>
        <v>0.1</v>
      </c>
      <c r="J39" s="31" t="n">
        <f aca="false">COUNTIFS(Data!$B$2:$B$1201,$A39,Data!$I$2:$I$1201,"COD")</f>
        <v>1</v>
      </c>
    </row>
    <row r="40" customFormat="false" ht="15" hidden="false" customHeight="false" outlineLevel="0" collapsed="false">
      <c r="A40" s="35" t="n">
        <v>46239</v>
      </c>
      <c r="B40" s="31" t="n">
        <f aca="false">COUNTIFS(Data!$B$2:$B$1201,A40)</f>
        <v>7</v>
      </c>
      <c r="C40" s="32" t="n">
        <f aca="false">SUMIFS(Data!$H$2:$H$1201,Data!$B$2:$B$1201,A40)</f>
        <v>4214</v>
      </c>
      <c r="D40" s="31" t="n">
        <f aca="false">COUNTIFS(Data!$B$2:$B$1201,$A40,Data!$J$2:$J$1201,"Delivered")</f>
        <v>6</v>
      </c>
      <c r="E40" s="31" t="n">
        <f aca="false">COUNTIFS(Data!$B$2:$B$1201,$A40,Data!$J$2:$J$1201,"Returned")</f>
        <v>1</v>
      </c>
      <c r="F40" s="31" t="n">
        <f aca="false">COUNTIFS(Data!$B$2:$B$1201,$A40,Data!$J$2:$J$1201,"Cancelled")</f>
        <v>0</v>
      </c>
      <c r="G40" s="31" t="n">
        <f aca="false">COUNTIFS(Data!$B$2:$B$1201,$A40,Data!$J$2:$J$1201,"RTO")</f>
        <v>0</v>
      </c>
      <c r="H40" s="33" t="n">
        <f aca="false">IFERROR(D40/B40,0)</f>
        <v>0.857142857142857</v>
      </c>
      <c r="I40" s="33" t="n">
        <f aca="false">IFERROR(E40/B40,0)</f>
        <v>0.142857142857143</v>
      </c>
      <c r="J40" s="31" t="n">
        <f aca="false">COUNTIFS(Data!$B$2:$B$1201,$A40,Data!$I$2:$I$1201,"COD")</f>
        <v>4</v>
      </c>
    </row>
    <row r="41" customFormat="false" ht="15" hidden="false" customHeight="false" outlineLevel="0" collapsed="false">
      <c r="A41" s="35" t="n">
        <v>46240</v>
      </c>
      <c r="B41" s="31" t="n">
        <f aca="false">COUNTIFS(Data!$B$2:$B$1201,A41)</f>
        <v>11</v>
      </c>
      <c r="C41" s="32" t="n">
        <f aca="false">SUMIFS(Data!$H$2:$H$1201,Data!$B$2:$B$1201,A41)</f>
        <v>10656</v>
      </c>
      <c r="D41" s="31" t="n">
        <f aca="false">COUNTIFS(Data!$B$2:$B$1201,$A41,Data!$J$2:$J$1201,"Delivered")</f>
        <v>9</v>
      </c>
      <c r="E41" s="31" t="n">
        <f aca="false">COUNTIFS(Data!$B$2:$B$1201,$A41,Data!$J$2:$J$1201,"Returned")</f>
        <v>2</v>
      </c>
      <c r="F41" s="31" t="n">
        <f aca="false">COUNTIFS(Data!$B$2:$B$1201,$A41,Data!$J$2:$J$1201,"Cancelled")</f>
        <v>0</v>
      </c>
      <c r="G41" s="31" t="n">
        <f aca="false">COUNTIFS(Data!$B$2:$B$1201,$A41,Data!$J$2:$J$1201,"RTO")</f>
        <v>0</v>
      </c>
      <c r="H41" s="33" t="n">
        <f aca="false">IFERROR(D41/B41,0)</f>
        <v>0.818181818181818</v>
      </c>
      <c r="I41" s="33" t="n">
        <f aca="false">IFERROR(E41/B41,0)</f>
        <v>0.181818181818182</v>
      </c>
      <c r="J41" s="31" t="n">
        <f aca="false">COUNTIFS(Data!$B$2:$B$1201,$A41,Data!$I$2:$I$1201,"COD")</f>
        <v>0</v>
      </c>
    </row>
    <row r="42" customFormat="false" ht="15" hidden="false" customHeight="false" outlineLevel="0" collapsed="false">
      <c r="A42" s="35" t="n">
        <v>46241</v>
      </c>
      <c r="B42" s="31" t="n">
        <f aca="false">COUNTIFS(Data!$B$2:$B$1201,A42)</f>
        <v>11</v>
      </c>
      <c r="C42" s="32" t="n">
        <f aca="false">SUMIFS(Data!$H$2:$H$1201,Data!$B$2:$B$1201,A42)</f>
        <v>8220</v>
      </c>
      <c r="D42" s="31" t="n">
        <f aca="false">COUNTIFS(Data!$B$2:$B$1201,$A42,Data!$J$2:$J$1201,"Delivered")</f>
        <v>9</v>
      </c>
      <c r="E42" s="31" t="n">
        <f aca="false">COUNTIFS(Data!$B$2:$B$1201,$A42,Data!$J$2:$J$1201,"Returned")</f>
        <v>0</v>
      </c>
      <c r="F42" s="31" t="n">
        <f aca="false">COUNTIFS(Data!$B$2:$B$1201,$A42,Data!$J$2:$J$1201,"Cancelled")</f>
        <v>0</v>
      </c>
      <c r="G42" s="31" t="n">
        <f aca="false">COUNTIFS(Data!$B$2:$B$1201,$A42,Data!$J$2:$J$1201,"RTO")</f>
        <v>2</v>
      </c>
      <c r="H42" s="33" t="n">
        <f aca="false">IFERROR(D42/B42,0)</f>
        <v>0.818181818181818</v>
      </c>
      <c r="I42" s="33" t="n">
        <f aca="false">IFERROR(E42/B42,0)</f>
        <v>0</v>
      </c>
      <c r="J42" s="31" t="n">
        <f aca="false">COUNTIFS(Data!$B$2:$B$1201,$A42,Data!$I$2:$I$1201,"COD")</f>
        <v>5</v>
      </c>
    </row>
    <row r="43" customFormat="false" ht="15" hidden="false" customHeight="false" outlineLevel="0" collapsed="false">
      <c r="A43" s="35" t="n">
        <v>46242</v>
      </c>
      <c r="B43" s="31" t="n">
        <f aca="false">COUNTIFS(Data!$B$2:$B$1201,A43)</f>
        <v>18</v>
      </c>
      <c r="C43" s="32" t="n">
        <f aca="false">SUMIFS(Data!$H$2:$H$1201,Data!$B$2:$B$1201,A43)</f>
        <v>16672</v>
      </c>
      <c r="D43" s="31" t="n">
        <f aca="false">COUNTIFS(Data!$B$2:$B$1201,$A43,Data!$J$2:$J$1201,"Delivered")</f>
        <v>14</v>
      </c>
      <c r="E43" s="31" t="n">
        <f aca="false">COUNTIFS(Data!$B$2:$B$1201,$A43,Data!$J$2:$J$1201,"Returned")</f>
        <v>2</v>
      </c>
      <c r="F43" s="31" t="n">
        <f aca="false">COUNTIFS(Data!$B$2:$B$1201,$A43,Data!$J$2:$J$1201,"Cancelled")</f>
        <v>0</v>
      </c>
      <c r="G43" s="31" t="n">
        <f aca="false">COUNTIFS(Data!$B$2:$B$1201,$A43,Data!$J$2:$J$1201,"RTO")</f>
        <v>2</v>
      </c>
      <c r="H43" s="33" t="n">
        <f aca="false">IFERROR(D43/B43,0)</f>
        <v>0.777777777777778</v>
      </c>
      <c r="I43" s="33" t="n">
        <f aca="false">IFERROR(E43/B43,0)</f>
        <v>0.111111111111111</v>
      </c>
      <c r="J43" s="31" t="n">
        <f aca="false">COUNTIFS(Data!$B$2:$B$1201,$A43,Data!$I$2:$I$1201,"COD")</f>
        <v>4</v>
      </c>
    </row>
    <row r="44" customFormat="false" ht="15" hidden="false" customHeight="false" outlineLevel="0" collapsed="false">
      <c r="A44" s="35" t="n">
        <v>46243</v>
      </c>
      <c r="B44" s="31" t="n">
        <f aca="false">COUNTIFS(Data!$B$2:$B$1201,A44)</f>
        <v>17</v>
      </c>
      <c r="C44" s="32" t="n">
        <f aca="false">SUMIFS(Data!$H$2:$H$1201,Data!$B$2:$B$1201,A44)</f>
        <v>13198</v>
      </c>
      <c r="D44" s="31" t="n">
        <f aca="false">COUNTIFS(Data!$B$2:$B$1201,$A44,Data!$J$2:$J$1201,"Delivered")</f>
        <v>15</v>
      </c>
      <c r="E44" s="31" t="n">
        <f aca="false">COUNTIFS(Data!$B$2:$B$1201,$A44,Data!$J$2:$J$1201,"Returned")</f>
        <v>1</v>
      </c>
      <c r="F44" s="31" t="n">
        <f aca="false">COUNTIFS(Data!$B$2:$B$1201,$A44,Data!$J$2:$J$1201,"Cancelled")</f>
        <v>0</v>
      </c>
      <c r="G44" s="31" t="n">
        <f aca="false">COUNTIFS(Data!$B$2:$B$1201,$A44,Data!$J$2:$J$1201,"RTO")</f>
        <v>1</v>
      </c>
      <c r="H44" s="33" t="n">
        <f aca="false">IFERROR(D44/B44,0)</f>
        <v>0.882352941176471</v>
      </c>
      <c r="I44" s="33" t="n">
        <f aca="false">IFERROR(E44/B44,0)</f>
        <v>0.0588235294117647</v>
      </c>
      <c r="J44" s="31" t="n">
        <f aca="false">COUNTIFS(Data!$B$2:$B$1201,$A44,Data!$I$2:$I$1201,"COD")</f>
        <v>5</v>
      </c>
    </row>
    <row r="45" customFormat="false" ht="15" hidden="false" customHeight="false" outlineLevel="0" collapsed="false">
      <c r="A45" s="35" t="n">
        <v>46244</v>
      </c>
      <c r="B45" s="31" t="n">
        <f aca="false">COUNTIFS(Data!$B$2:$B$1201,A45)</f>
        <v>14</v>
      </c>
      <c r="C45" s="32" t="n">
        <f aca="false">SUMIFS(Data!$H$2:$H$1201,Data!$B$2:$B$1201,A45)</f>
        <v>8818</v>
      </c>
      <c r="D45" s="31" t="n">
        <f aca="false">COUNTIFS(Data!$B$2:$B$1201,$A45,Data!$J$2:$J$1201,"Delivered")</f>
        <v>9</v>
      </c>
      <c r="E45" s="31" t="n">
        <f aca="false">COUNTIFS(Data!$B$2:$B$1201,$A45,Data!$J$2:$J$1201,"Returned")</f>
        <v>2</v>
      </c>
      <c r="F45" s="31" t="n">
        <f aca="false">COUNTIFS(Data!$B$2:$B$1201,$A45,Data!$J$2:$J$1201,"Cancelled")</f>
        <v>3</v>
      </c>
      <c r="G45" s="31" t="n">
        <f aca="false">COUNTIFS(Data!$B$2:$B$1201,$A45,Data!$J$2:$J$1201,"RTO")</f>
        <v>0</v>
      </c>
      <c r="H45" s="33" t="n">
        <f aca="false">IFERROR(D45/B45,0)</f>
        <v>0.642857142857143</v>
      </c>
      <c r="I45" s="33" t="n">
        <f aca="false">IFERROR(E45/B45,0)</f>
        <v>0.142857142857143</v>
      </c>
      <c r="J45" s="31" t="n">
        <f aca="false">COUNTIFS(Data!$B$2:$B$1201,$A45,Data!$I$2:$I$1201,"COD")</f>
        <v>7</v>
      </c>
    </row>
    <row r="46" customFormat="false" ht="15" hidden="false" customHeight="false" outlineLevel="0" collapsed="false">
      <c r="A46" s="35" t="n">
        <v>46245</v>
      </c>
      <c r="B46" s="31" t="n">
        <f aca="false">COUNTIFS(Data!$B$2:$B$1201,A46)</f>
        <v>16</v>
      </c>
      <c r="C46" s="32" t="n">
        <f aca="false">SUMIFS(Data!$H$2:$H$1201,Data!$B$2:$B$1201,A46)</f>
        <v>13950</v>
      </c>
      <c r="D46" s="31" t="n">
        <f aca="false">COUNTIFS(Data!$B$2:$B$1201,$A46,Data!$J$2:$J$1201,"Delivered")</f>
        <v>12</v>
      </c>
      <c r="E46" s="31" t="n">
        <f aca="false">COUNTIFS(Data!$B$2:$B$1201,$A46,Data!$J$2:$J$1201,"Returned")</f>
        <v>1</v>
      </c>
      <c r="F46" s="31" t="n">
        <f aca="false">COUNTIFS(Data!$B$2:$B$1201,$A46,Data!$J$2:$J$1201,"Cancelled")</f>
        <v>1</v>
      </c>
      <c r="G46" s="31" t="n">
        <f aca="false">COUNTIFS(Data!$B$2:$B$1201,$A46,Data!$J$2:$J$1201,"RTO")</f>
        <v>2</v>
      </c>
      <c r="H46" s="33" t="n">
        <f aca="false">IFERROR(D46/B46,0)</f>
        <v>0.75</v>
      </c>
      <c r="I46" s="33" t="n">
        <f aca="false">IFERROR(E46/B46,0)</f>
        <v>0.0625</v>
      </c>
      <c r="J46" s="31" t="n">
        <f aca="false">COUNTIFS(Data!$B$2:$B$1201,$A46,Data!$I$2:$I$1201,"COD")</f>
        <v>6</v>
      </c>
    </row>
    <row r="47" customFormat="false" ht="15" hidden="false" customHeight="false" outlineLevel="0" collapsed="false">
      <c r="A47" s="35" t="n">
        <v>46246</v>
      </c>
      <c r="B47" s="31" t="n">
        <f aca="false">COUNTIFS(Data!$B$2:$B$1201,A47)</f>
        <v>6</v>
      </c>
      <c r="C47" s="32" t="n">
        <f aca="false">SUMIFS(Data!$H$2:$H$1201,Data!$B$2:$B$1201,A47)</f>
        <v>4492</v>
      </c>
      <c r="D47" s="31" t="n">
        <f aca="false">COUNTIFS(Data!$B$2:$B$1201,$A47,Data!$J$2:$J$1201,"Delivered")</f>
        <v>3</v>
      </c>
      <c r="E47" s="31" t="n">
        <f aca="false">COUNTIFS(Data!$B$2:$B$1201,$A47,Data!$J$2:$J$1201,"Returned")</f>
        <v>1</v>
      </c>
      <c r="F47" s="31" t="n">
        <f aca="false">COUNTIFS(Data!$B$2:$B$1201,$A47,Data!$J$2:$J$1201,"Cancelled")</f>
        <v>1</v>
      </c>
      <c r="G47" s="31" t="n">
        <f aca="false">COUNTIFS(Data!$B$2:$B$1201,$A47,Data!$J$2:$J$1201,"RTO")</f>
        <v>1</v>
      </c>
      <c r="H47" s="33" t="n">
        <f aca="false">IFERROR(D47/B47,0)</f>
        <v>0.5</v>
      </c>
      <c r="I47" s="33" t="n">
        <f aca="false">IFERROR(E47/B47,0)</f>
        <v>0.166666666666667</v>
      </c>
      <c r="J47" s="31" t="n">
        <f aca="false">COUNTIFS(Data!$B$2:$B$1201,$A47,Data!$I$2:$I$1201,"COD")</f>
        <v>3</v>
      </c>
    </row>
    <row r="48" customFormat="false" ht="15" hidden="false" customHeight="false" outlineLevel="0" collapsed="false">
      <c r="A48" s="35" t="n">
        <v>46247</v>
      </c>
      <c r="B48" s="31" t="n">
        <f aca="false">COUNTIFS(Data!$B$2:$B$1201,A48)</f>
        <v>12</v>
      </c>
      <c r="C48" s="32" t="n">
        <f aca="false">SUMIFS(Data!$H$2:$H$1201,Data!$B$2:$B$1201,A48)</f>
        <v>10438</v>
      </c>
      <c r="D48" s="31" t="n">
        <f aca="false">COUNTIFS(Data!$B$2:$B$1201,$A48,Data!$J$2:$J$1201,"Delivered")</f>
        <v>8</v>
      </c>
      <c r="E48" s="31" t="n">
        <f aca="false">COUNTIFS(Data!$B$2:$B$1201,$A48,Data!$J$2:$J$1201,"Returned")</f>
        <v>3</v>
      </c>
      <c r="F48" s="31" t="n">
        <f aca="false">COUNTIFS(Data!$B$2:$B$1201,$A48,Data!$J$2:$J$1201,"Cancelled")</f>
        <v>0</v>
      </c>
      <c r="G48" s="31" t="n">
        <f aca="false">COUNTIFS(Data!$B$2:$B$1201,$A48,Data!$J$2:$J$1201,"RTO")</f>
        <v>1</v>
      </c>
      <c r="H48" s="33" t="n">
        <f aca="false">IFERROR(D48/B48,0)</f>
        <v>0.666666666666667</v>
      </c>
      <c r="I48" s="33" t="n">
        <f aca="false">IFERROR(E48/B48,0)</f>
        <v>0.25</v>
      </c>
      <c r="J48" s="31" t="n">
        <f aca="false">COUNTIFS(Data!$B$2:$B$1201,$A48,Data!$I$2:$I$1201,"COD")</f>
        <v>5</v>
      </c>
    </row>
    <row r="49" customFormat="false" ht="15" hidden="false" customHeight="false" outlineLevel="0" collapsed="false">
      <c r="A49" s="35" t="n">
        <v>46248</v>
      </c>
      <c r="B49" s="31" t="n">
        <f aca="false">COUNTIFS(Data!$B$2:$B$1201,A49)</f>
        <v>15</v>
      </c>
      <c r="C49" s="32" t="n">
        <f aca="false">SUMIFS(Data!$H$2:$H$1201,Data!$B$2:$B$1201,A49)</f>
        <v>12054</v>
      </c>
      <c r="D49" s="31" t="n">
        <f aca="false">COUNTIFS(Data!$B$2:$B$1201,$A49,Data!$J$2:$J$1201,"Delivered")</f>
        <v>12</v>
      </c>
      <c r="E49" s="31" t="n">
        <f aca="false">COUNTIFS(Data!$B$2:$B$1201,$A49,Data!$J$2:$J$1201,"Returned")</f>
        <v>2</v>
      </c>
      <c r="F49" s="31" t="n">
        <f aca="false">COUNTIFS(Data!$B$2:$B$1201,$A49,Data!$J$2:$J$1201,"Cancelled")</f>
        <v>0</v>
      </c>
      <c r="G49" s="31" t="n">
        <f aca="false">COUNTIFS(Data!$B$2:$B$1201,$A49,Data!$J$2:$J$1201,"RTO")</f>
        <v>1</v>
      </c>
      <c r="H49" s="33" t="n">
        <f aca="false">IFERROR(D49/B49,0)</f>
        <v>0.8</v>
      </c>
      <c r="I49" s="33" t="n">
        <f aca="false">IFERROR(E49/B49,0)</f>
        <v>0.133333333333333</v>
      </c>
      <c r="J49" s="31" t="n">
        <f aca="false">COUNTIFS(Data!$B$2:$B$1201,$A49,Data!$I$2:$I$1201,"COD")</f>
        <v>4</v>
      </c>
    </row>
    <row r="50" customFormat="false" ht="15" hidden="false" customHeight="false" outlineLevel="0" collapsed="false">
      <c r="A50" s="35" t="n">
        <v>46249</v>
      </c>
      <c r="B50" s="31" t="n">
        <f aca="false">COUNTIFS(Data!$B$2:$B$1201,A50)</f>
        <v>18</v>
      </c>
      <c r="C50" s="32" t="n">
        <f aca="false">SUMIFS(Data!$H$2:$H$1201,Data!$B$2:$B$1201,A50)</f>
        <v>18002</v>
      </c>
      <c r="D50" s="31" t="n">
        <f aca="false">COUNTIFS(Data!$B$2:$B$1201,$A50,Data!$J$2:$J$1201,"Delivered")</f>
        <v>16</v>
      </c>
      <c r="E50" s="31" t="n">
        <f aca="false">COUNTIFS(Data!$B$2:$B$1201,$A50,Data!$J$2:$J$1201,"Returned")</f>
        <v>1</v>
      </c>
      <c r="F50" s="31" t="n">
        <f aca="false">COUNTIFS(Data!$B$2:$B$1201,$A50,Data!$J$2:$J$1201,"Cancelled")</f>
        <v>1</v>
      </c>
      <c r="G50" s="31" t="n">
        <f aca="false">COUNTIFS(Data!$B$2:$B$1201,$A50,Data!$J$2:$J$1201,"RTO")</f>
        <v>0</v>
      </c>
      <c r="H50" s="33" t="n">
        <f aca="false">IFERROR(D50/B50,0)</f>
        <v>0.888888888888889</v>
      </c>
      <c r="I50" s="33" t="n">
        <f aca="false">IFERROR(E50/B50,0)</f>
        <v>0.0555555555555556</v>
      </c>
      <c r="J50" s="31" t="n">
        <f aca="false">COUNTIFS(Data!$B$2:$B$1201,$A50,Data!$I$2:$I$1201,"COD")</f>
        <v>7</v>
      </c>
    </row>
    <row r="51" customFormat="false" ht="15" hidden="false" customHeight="false" outlineLevel="0" collapsed="false">
      <c r="A51" s="35" t="n">
        <v>46250</v>
      </c>
      <c r="B51" s="31" t="n">
        <f aca="false">COUNTIFS(Data!$B$2:$B$1201,A51)</f>
        <v>14</v>
      </c>
      <c r="C51" s="32" t="n">
        <f aca="false">SUMIFS(Data!$H$2:$H$1201,Data!$B$2:$B$1201,A51)</f>
        <v>14010</v>
      </c>
      <c r="D51" s="31" t="n">
        <f aca="false">COUNTIFS(Data!$B$2:$B$1201,$A51,Data!$J$2:$J$1201,"Delivered")</f>
        <v>11</v>
      </c>
      <c r="E51" s="31" t="n">
        <f aca="false">COUNTIFS(Data!$B$2:$B$1201,$A51,Data!$J$2:$J$1201,"Returned")</f>
        <v>2</v>
      </c>
      <c r="F51" s="31" t="n">
        <f aca="false">COUNTIFS(Data!$B$2:$B$1201,$A51,Data!$J$2:$J$1201,"Cancelled")</f>
        <v>0</v>
      </c>
      <c r="G51" s="31" t="n">
        <f aca="false">COUNTIFS(Data!$B$2:$B$1201,$A51,Data!$J$2:$J$1201,"RTO")</f>
        <v>1</v>
      </c>
      <c r="H51" s="33" t="n">
        <f aca="false">IFERROR(D51/B51,0)</f>
        <v>0.785714285714286</v>
      </c>
      <c r="I51" s="33" t="n">
        <f aca="false">IFERROR(E51/B51,0)</f>
        <v>0.142857142857143</v>
      </c>
      <c r="J51" s="31" t="n">
        <f aca="false">COUNTIFS(Data!$B$2:$B$1201,$A51,Data!$I$2:$I$1201,"COD")</f>
        <v>8</v>
      </c>
    </row>
    <row r="52" customFormat="false" ht="15" hidden="false" customHeight="false" outlineLevel="0" collapsed="false">
      <c r="A52" s="35" t="n">
        <v>46251</v>
      </c>
      <c r="B52" s="31" t="n">
        <f aca="false">COUNTIFS(Data!$B$2:$B$1201,A52)</f>
        <v>15</v>
      </c>
      <c r="C52" s="32" t="n">
        <f aca="false">SUMIFS(Data!$H$2:$H$1201,Data!$B$2:$B$1201,A52)</f>
        <v>9744</v>
      </c>
      <c r="D52" s="31" t="n">
        <f aca="false">COUNTIFS(Data!$B$2:$B$1201,$A52,Data!$J$2:$J$1201,"Delivered")</f>
        <v>13</v>
      </c>
      <c r="E52" s="31" t="n">
        <f aca="false">COUNTIFS(Data!$B$2:$B$1201,$A52,Data!$J$2:$J$1201,"Returned")</f>
        <v>0</v>
      </c>
      <c r="F52" s="31" t="n">
        <f aca="false">COUNTIFS(Data!$B$2:$B$1201,$A52,Data!$J$2:$J$1201,"Cancelled")</f>
        <v>0</v>
      </c>
      <c r="G52" s="31" t="n">
        <f aca="false">COUNTIFS(Data!$B$2:$B$1201,$A52,Data!$J$2:$J$1201,"RTO")</f>
        <v>2</v>
      </c>
      <c r="H52" s="33" t="n">
        <f aca="false">IFERROR(D52/B52,0)</f>
        <v>0.866666666666667</v>
      </c>
      <c r="I52" s="33" t="n">
        <f aca="false">IFERROR(E52/B52,0)</f>
        <v>0</v>
      </c>
      <c r="J52" s="31" t="n">
        <f aca="false">COUNTIFS(Data!$B$2:$B$1201,$A52,Data!$I$2:$I$1201,"COD")</f>
        <v>3</v>
      </c>
    </row>
    <row r="53" customFormat="false" ht="15" hidden="false" customHeight="false" outlineLevel="0" collapsed="false">
      <c r="A53" s="35" t="n">
        <v>46252</v>
      </c>
      <c r="B53" s="31" t="n">
        <f aca="false">COUNTIFS(Data!$B$2:$B$1201,A53)</f>
        <v>11</v>
      </c>
      <c r="C53" s="32" t="n">
        <f aca="false">SUMIFS(Data!$H$2:$H$1201,Data!$B$2:$B$1201,A53)</f>
        <v>9120</v>
      </c>
      <c r="D53" s="31" t="n">
        <f aca="false">COUNTIFS(Data!$B$2:$B$1201,$A53,Data!$J$2:$J$1201,"Delivered")</f>
        <v>8</v>
      </c>
      <c r="E53" s="31" t="n">
        <f aca="false">COUNTIFS(Data!$B$2:$B$1201,$A53,Data!$J$2:$J$1201,"Returned")</f>
        <v>1</v>
      </c>
      <c r="F53" s="31" t="n">
        <f aca="false">COUNTIFS(Data!$B$2:$B$1201,$A53,Data!$J$2:$J$1201,"Cancelled")</f>
        <v>1</v>
      </c>
      <c r="G53" s="31" t="n">
        <f aca="false">COUNTIFS(Data!$B$2:$B$1201,$A53,Data!$J$2:$J$1201,"RTO")</f>
        <v>1</v>
      </c>
      <c r="H53" s="33" t="n">
        <f aca="false">IFERROR(D53/B53,0)</f>
        <v>0.727272727272727</v>
      </c>
      <c r="I53" s="33" t="n">
        <f aca="false">IFERROR(E53/B53,0)</f>
        <v>0.0909090909090909</v>
      </c>
      <c r="J53" s="31" t="n">
        <f aca="false">COUNTIFS(Data!$B$2:$B$1201,$A53,Data!$I$2:$I$1201,"COD")</f>
        <v>5</v>
      </c>
    </row>
    <row r="54" customFormat="false" ht="15" hidden="false" customHeight="false" outlineLevel="0" collapsed="false">
      <c r="A54" s="35" t="n">
        <v>46253</v>
      </c>
      <c r="B54" s="31" t="n">
        <f aca="false">COUNTIFS(Data!$B$2:$B$1201,A54)</f>
        <v>17</v>
      </c>
      <c r="C54" s="32" t="n">
        <f aca="false">SUMIFS(Data!$H$2:$H$1201,Data!$B$2:$B$1201,A54)</f>
        <v>13322</v>
      </c>
      <c r="D54" s="31" t="n">
        <f aca="false">COUNTIFS(Data!$B$2:$B$1201,$A54,Data!$J$2:$J$1201,"Delivered")</f>
        <v>15</v>
      </c>
      <c r="E54" s="31" t="n">
        <f aca="false">COUNTIFS(Data!$B$2:$B$1201,$A54,Data!$J$2:$J$1201,"Returned")</f>
        <v>0</v>
      </c>
      <c r="F54" s="31" t="n">
        <f aca="false">COUNTIFS(Data!$B$2:$B$1201,$A54,Data!$J$2:$J$1201,"Cancelled")</f>
        <v>0</v>
      </c>
      <c r="G54" s="31" t="n">
        <f aca="false">COUNTIFS(Data!$B$2:$B$1201,$A54,Data!$J$2:$J$1201,"RTO")</f>
        <v>2</v>
      </c>
      <c r="H54" s="33" t="n">
        <f aca="false">IFERROR(D54/B54,0)</f>
        <v>0.882352941176471</v>
      </c>
      <c r="I54" s="33" t="n">
        <f aca="false">IFERROR(E54/B54,0)</f>
        <v>0</v>
      </c>
      <c r="J54" s="31" t="n">
        <f aca="false">COUNTIFS(Data!$B$2:$B$1201,$A54,Data!$I$2:$I$1201,"COD")</f>
        <v>6</v>
      </c>
    </row>
    <row r="55" customFormat="false" ht="15" hidden="false" customHeight="false" outlineLevel="0" collapsed="false">
      <c r="A55" s="35" t="n">
        <v>46254</v>
      </c>
      <c r="B55" s="31" t="n">
        <f aca="false">COUNTIFS(Data!$B$2:$B$1201,A55)</f>
        <v>9</v>
      </c>
      <c r="C55" s="32" t="n">
        <f aca="false">SUMIFS(Data!$H$2:$H$1201,Data!$B$2:$B$1201,A55)</f>
        <v>7022</v>
      </c>
      <c r="D55" s="31" t="n">
        <f aca="false">COUNTIFS(Data!$B$2:$B$1201,$A55,Data!$J$2:$J$1201,"Delivered")</f>
        <v>8</v>
      </c>
      <c r="E55" s="31" t="n">
        <f aca="false">COUNTIFS(Data!$B$2:$B$1201,$A55,Data!$J$2:$J$1201,"Returned")</f>
        <v>0</v>
      </c>
      <c r="F55" s="31" t="n">
        <f aca="false">COUNTIFS(Data!$B$2:$B$1201,$A55,Data!$J$2:$J$1201,"Cancelled")</f>
        <v>0</v>
      </c>
      <c r="G55" s="31" t="n">
        <f aca="false">COUNTIFS(Data!$B$2:$B$1201,$A55,Data!$J$2:$J$1201,"RTO")</f>
        <v>1</v>
      </c>
      <c r="H55" s="33" t="n">
        <f aca="false">IFERROR(D55/B55,0)</f>
        <v>0.888888888888889</v>
      </c>
      <c r="I55" s="33" t="n">
        <f aca="false">IFERROR(E55/B55,0)</f>
        <v>0</v>
      </c>
      <c r="J55" s="31" t="n">
        <f aca="false">COUNTIFS(Data!$B$2:$B$1201,$A55,Data!$I$2:$I$1201,"COD")</f>
        <v>3</v>
      </c>
    </row>
    <row r="56" customFormat="false" ht="15" hidden="false" customHeight="false" outlineLevel="0" collapsed="false">
      <c r="A56" s="35" t="n">
        <v>46255</v>
      </c>
      <c r="B56" s="31" t="n">
        <f aca="false">COUNTIFS(Data!$B$2:$B$1201,A56)</f>
        <v>6</v>
      </c>
      <c r="C56" s="32" t="n">
        <f aca="false">SUMIFS(Data!$H$2:$H$1201,Data!$B$2:$B$1201,A56)</f>
        <v>5124</v>
      </c>
      <c r="D56" s="31" t="n">
        <f aca="false">COUNTIFS(Data!$B$2:$B$1201,$A56,Data!$J$2:$J$1201,"Delivered")</f>
        <v>6</v>
      </c>
      <c r="E56" s="31" t="n">
        <f aca="false">COUNTIFS(Data!$B$2:$B$1201,$A56,Data!$J$2:$J$1201,"Returned")</f>
        <v>0</v>
      </c>
      <c r="F56" s="31" t="n">
        <f aca="false">COUNTIFS(Data!$B$2:$B$1201,$A56,Data!$J$2:$J$1201,"Cancelled")</f>
        <v>0</v>
      </c>
      <c r="G56" s="31" t="n">
        <f aca="false">COUNTIFS(Data!$B$2:$B$1201,$A56,Data!$J$2:$J$1201,"RTO")</f>
        <v>0</v>
      </c>
      <c r="H56" s="33" t="n">
        <f aca="false">IFERROR(D56/B56,0)</f>
        <v>1</v>
      </c>
      <c r="I56" s="33" t="n">
        <f aca="false">IFERROR(E56/B56,0)</f>
        <v>0</v>
      </c>
      <c r="J56" s="31" t="n">
        <f aca="false">COUNTIFS(Data!$B$2:$B$1201,$A56,Data!$I$2:$I$1201,"COD")</f>
        <v>2</v>
      </c>
    </row>
    <row r="57" customFormat="false" ht="15" hidden="false" customHeight="false" outlineLevel="0" collapsed="false">
      <c r="A57" s="35" t="n">
        <v>46256</v>
      </c>
      <c r="B57" s="31" t="n">
        <f aca="false">COUNTIFS(Data!$B$2:$B$1201,A57)</f>
        <v>15</v>
      </c>
      <c r="C57" s="32" t="n">
        <f aca="false">SUMIFS(Data!$H$2:$H$1201,Data!$B$2:$B$1201,A57)</f>
        <v>8250</v>
      </c>
      <c r="D57" s="31" t="n">
        <f aca="false">COUNTIFS(Data!$B$2:$B$1201,$A57,Data!$J$2:$J$1201,"Delivered")</f>
        <v>13</v>
      </c>
      <c r="E57" s="31" t="n">
        <f aca="false">COUNTIFS(Data!$B$2:$B$1201,$A57,Data!$J$2:$J$1201,"Returned")</f>
        <v>0</v>
      </c>
      <c r="F57" s="31" t="n">
        <f aca="false">COUNTIFS(Data!$B$2:$B$1201,$A57,Data!$J$2:$J$1201,"Cancelled")</f>
        <v>2</v>
      </c>
      <c r="G57" s="31" t="n">
        <f aca="false">COUNTIFS(Data!$B$2:$B$1201,$A57,Data!$J$2:$J$1201,"RTO")</f>
        <v>0</v>
      </c>
      <c r="H57" s="33" t="n">
        <f aca="false">IFERROR(D57/B57,0)</f>
        <v>0.866666666666667</v>
      </c>
      <c r="I57" s="33" t="n">
        <f aca="false">IFERROR(E57/B57,0)</f>
        <v>0</v>
      </c>
      <c r="J57" s="31" t="n">
        <f aca="false">COUNTIFS(Data!$B$2:$B$1201,$A57,Data!$I$2:$I$1201,"COD")</f>
        <v>7</v>
      </c>
    </row>
    <row r="58" customFormat="false" ht="15" hidden="false" customHeight="false" outlineLevel="0" collapsed="false">
      <c r="A58" s="35" t="n">
        <v>46257</v>
      </c>
      <c r="B58" s="31" t="n">
        <f aca="false">COUNTIFS(Data!$B$2:$B$1201,A58)</f>
        <v>18</v>
      </c>
      <c r="C58" s="32" t="n">
        <f aca="false">SUMIFS(Data!$H$2:$H$1201,Data!$B$2:$B$1201,A58)</f>
        <v>15460</v>
      </c>
      <c r="D58" s="31" t="n">
        <f aca="false">COUNTIFS(Data!$B$2:$B$1201,$A58,Data!$J$2:$J$1201,"Delivered")</f>
        <v>16</v>
      </c>
      <c r="E58" s="31" t="n">
        <f aca="false">COUNTIFS(Data!$B$2:$B$1201,$A58,Data!$J$2:$J$1201,"Returned")</f>
        <v>1</v>
      </c>
      <c r="F58" s="31" t="n">
        <f aca="false">COUNTIFS(Data!$B$2:$B$1201,$A58,Data!$J$2:$J$1201,"Cancelled")</f>
        <v>0</v>
      </c>
      <c r="G58" s="31" t="n">
        <f aca="false">COUNTIFS(Data!$B$2:$B$1201,$A58,Data!$J$2:$J$1201,"RTO")</f>
        <v>1</v>
      </c>
      <c r="H58" s="33" t="n">
        <f aca="false">IFERROR(D58/B58,0)</f>
        <v>0.888888888888889</v>
      </c>
      <c r="I58" s="33" t="n">
        <f aca="false">IFERROR(E58/B58,0)</f>
        <v>0.0555555555555556</v>
      </c>
      <c r="J58" s="31" t="n">
        <f aca="false">COUNTIFS(Data!$B$2:$B$1201,$A58,Data!$I$2:$I$1201,"COD")</f>
        <v>7</v>
      </c>
    </row>
    <row r="59" customFormat="false" ht="15" hidden="false" customHeight="false" outlineLevel="0" collapsed="false">
      <c r="A59" s="35" t="n">
        <v>46258</v>
      </c>
      <c r="B59" s="31" t="n">
        <f aca="false">COUNTIFS(Data!$B$2:$B$1201,A59)</f>
        <v>16</v>
      </c>
      <c r="C59" s="32" t="n">
        <f aca="false">SUMIFS(Data!$H$2:$H$1201,Data!$B$2:$B$1201,A59)</f>
        <v>12052</v>
      </c>
      <c r="D59" s="31" t="n">
        <f aca="false">COUNTIFS(Data!$B$2:$B$1201,$A59,Data!$J$2:$J$1201,"Delivered")</f>
        <v>14</v>
      </c>
      <c r="E59" s="31" t="n">
        <f aca="false">COUNTIFS(Data!$B$2:$B$1201,$A59,Data!$J$2:$J$1201,"Returned")</f>
        <v>0</v>
      </c>
      <c r="F59" s="31" t="n">
        <f aca="false">COUNTIFS(Data!$B$2:$B$1201,$A59,Data!$J$2:$J$1201,"Cancelled")</f>
        <v>1</v>
      </c>
      <c r="G59" s="31" t="n">
        <f aca="false">COUNTIFS(Data!$B$2:$B$1201,$A59,Data!$J$2:$J$1201,"RTO")</f>
        <v>1</v>
      </c>
      <c r="H59" s="33" t="n">
        <f aca="false">IFERROR(D59/B59,0)</f>
        <v>0.875</v>
      </c>
      <c r="I59" s="33" t="n">
        <f aca="false">IFERROR(E59/B59,0)</f>
        <v>0</v>
      </c>
      <c r="J59" s="31" t="n">
        <f aca="false">COUNTIFS(Data!$B$2:$B$1201,$A59,Data!$I$2:$I$1201,"COD")</f>
        <v>10</v>
      </c>
    </row>
    <row r="60" customFormat="false" ht="15" hidden="false" customHeight="false" outlineLevel="0" collapsed="false">
      <c r="A60" s="35" t="n">
        <v>46259</v>
      </c>
      <c r="B60" s="31" t="n">
        <f aca="false">COUNTIFS(Data!$B$2:$B$1201,A60)</f>
        <v>10</v>
      </c>
      <c r="C60" s="32" t="n">
        <f aca="false">SUMIFS(Data!$H$2:$H$1201,Data!$B$2:$B$1201,A60)</f>
        <v>9942</v>
      </c>
      <c r="D60" s="31" t="n">
        <f aca="false">COUNTIFS(Data!$B$2:$B$1201,$A60,Data!$J$2:$J$1201,"Delivered")</f>
        <v>8</v>
      </c>
      <c r="E60" s="31" t="n">
        <f aca="false">COUNTIFS(Data!$B$2:$B$1201,$A60,Data!$J$2:$J$1201,"Returned")</f>
        <v>2</v>
      </c>
      <c r="F60" s="31" t="n">
        <f aca="false">COUNTIFS(Data!$B$2:$B$1201,$A60,Data!$J$2:$J$1201,"Cancelled")</f>
        <v>0</v>
      </c>
      <c r="G60" s="31" t="n">
        <f aca="false">COUNTIFS(Data!$B$2:$B$1201,$A60,Data!$J$2:$J$1201,"RTO")</f>
        <v>0</v>
      </c>
      <c r="H60" s="33" t="n">
        <f aca="false">IFERROR(D60/B60,0)</f>
        <v>0.8</v>
      </c>
      <c r="I60" s="33" t="n">
        <f aca="false">IFERROR(E60/B60,0)</f>
        <v>0.2</v>
      </c>
      <c r="J60" s="31" t="n">
        <f aca="false">COUNTIFS(Data!$B$2:$B$1201,$A60,Data!$I$2:$I$1201,"COD")</f>
        <v>7</v>
      </c>
    </row>
    <row r="61" customFormat="false" ht="15" hidden="false" customHeight="false" outlineLevel="0" collapsed="false">
      <c r="A61" s="35" t="n">
        <v>46260</v>
      </c>
      <c r="B61" s="31" t="n">
        <f aca="false">COUNTIFS(Data!$B$2:$B$1201,A61)</f>
        <v>14</v>
      </c>
      <c r="C61" s="32" t="n">
        <f aca="false">SUMIFS(Data!$H$2:$H$1201,Data!$B$2:$B$1201,A61)</f>
        <v>11652</v>
      </c>
      <c r="D61" s="31" t="n">
        <f aca="false">COUNTIFS(Data!$B$2:$B$1201,$A61,Data!$J$2:$J$1201,"Delivered")</f>
        <v>14</v>
      </c>
      <c r="E61" s="31" t="n">
        <f aca="false">COUNTIFS(Data!$B$2:$B$1201,$A61,Data!$J$2:$J$1201,"Returned")</f>
        <v>0</v>
      </c>
      <c r="F61" s="31" t="n">
        <f aca="false">COUNTIFS(Data!$B$2:$B$1201,$A61,Data!$J$2:$J$1201,"Cancelled")</f>
        <v>0</v>
      </c>
      <c r="G61" s="31" t="n">
        <f aca="false">COUNTIFS(Data!$B$2:$B$1201,$A61,Data!$J$2:$J$1201,"RTO")</f>
        <v>0</v>
      </c>
      <c r="H61" s="33" t="n">
        <f aca="false">IFERROR(D61/B61,0)</f>
        <v>1</v>
      </c>
      <c r="I61" s="33" t="n">
        <f aca="false">IFERROR(E61/B61,0)</f>
        <v>0</v>
      </c>
      <c r="J61" s="31" t="n">
        <f aca="false">COUNTIFS(Data!$B$2:$B$1201,$A61,Data!$I$2:$I$1201,"COD")</f>
        <v>1</v>
      </c>
    </row>
    <row r="62" customFormat="false" ht="15" hidden="false" customHeight="false" outlineLevel="0" collapsed="false">
      <c r="A62" s="35" t="n">
        <v>46261</v>
      </c>
      <c r="B62" s="31" t="n">
        <f aca="false">COUNTIFS(Data!$B$2:$B$1201,A62)</f>
        <v>9</v>
      </c>
      <c r="C62" s="32" t="n">
        <f aca="false">SUMIFS(Data!$H$2:$H$1201,Data!$B$2:$B$1201,A62)</f>
        <v>6268</v>
      </c>
      <c r="D62" s="31" t="n">
        <f aca="false">COUNTIFS(Data!$B$2:$B$1201,$A62,Data!$J$2:$J$1201,"Delivered")</f>
        <v>8</v>
      </c>
      <c r="E62" s="31" t="n">
        <f aca="false">COUNTIFS(Data!$B$2:$B$1201,$A62,Data!$J$2:$J$1201,"Returned")</f>
        <v>1</v>
      </c>
      <c r="F62" s="31" t="n">
        <f aca="false">COUNTIFS(Data!$B$2:$B$1201,$A62,Data!$J$2:$J$1201,"Cancelled")</f>
        <v>0</v>
      </c>
      <c r="G62" s="31" t="n">
        <f aca="false">COUNTIFS(Data!$B$2:$B$1201,$A62,Data!$J$2:$J$1201,"RTO")</f>
        <v>0</v>
      </c>
      <c r="H62" s="33" t="n">
        <f aca="false">IFERROR(D62/B62,0)</f>
        <v>0.888888888888889</v>
      </c>
      <c r="I62" s="33" t="n">
        <f aca="false">IFERROR(E62/B62,0)</f>
        <v>0.111111111111111</v>
      </c>
      <c r="J62" s="31" t="n">
        <f aca="false">COUNTIFS(Data!$B$2:$B$1201,$A62,Data!$I$2:$I$1201,"COD")</f>
        <v>3</v>
      </c>
    </row>
    <row r="63" customFormat="false" ht="15" hidden="false" customHeight="false" outlineLevel="0" collapsed="false">
      <c r="A63" s="35" t="n">
        <v>46262</v>
      </c>
      <c r="B63" s="31" t="n">
        <f aca="false">COUNTIFS(Data!$B$2:$B$1201,A63)</f>
        <v>13</v>
      </c>
      <c r="C63" s="32" t="n">
        <f aca="false">SUMIFS(Data!$H$2:$H$1201,Data!$B$2:$B$1201,A63)</f>
        <v>10440</v>
      </c>
      <c r="D63" s="31" t="n">
        <f aca="false">COUNTIFS(Data!$B$2:$B$1201,$A63,Data!$J$2:$J$1201,"Delivered")</f>
        <v>10</v>
      </c>
      <c r="E63" s="31" t="n">
        <f aca="false">COUNTIFS(Data!$B$2:$B$1201,$A63,Data!$J$2:$J$1201,"Returned")</f>
        <v>1</v>
      </c>
      <c r="F63" s="31" t="n">
        <f aca="false">COUNTIFS(Data!$B$2:$B$1201,$A63,Data!$J$2:$J$1201,"Cancelled")</f>
        <v>1</v>
      </c>
      <c r="G63" s="31" t="n">
        <f aca="false">COUNTIFS(Data!$B$2:$B$1201,$A63,Data!$J$2:$J$1201,"RTO")</f>
        <v>1</v>
      </c>
      <c r="H63" s="33" t="n">
        <f aca="false">IFERROR(D63/B63,0)</f>
        <v>0.769230769230769</v>
      </c>
      <c r="I63" s="33" t="n">
        <f aca="false">IFERROR(E63/B63,0)</f>
        <v>0.0769230769230769</v>
      </c>
      <c r="J63" s="31" t="n">
        <f aca="false">COUNTIFS(Data!$B$2:$B$1201,$A63,Data!$I$2:$I$1201,"COD")</f>
        <v>3</v>
      </c>
    </row>
    <row r="64" customFormat="false" ht="15" hidden="false" customHeight="false" outlineLevel="0" collapsed="false">
      <c r="A64" s="35" t="n">
        <v>46263</v>
      </c>
      <c r="B64" s="31" t="n">
        <f aca="false">COUNTIFS(Data!$B$2:$B$1201,A64)</f>
        <v>21</v>
      </c>
      <c r="C64" s="32" t="n">
        <f aca="false">SUMIFS(Data!$H$2:$H$1201,Data!$B$2:$B$1201,A64)</f>
        <v>18590</v>
      </c>
      <c r="D64" s="31" t="n">
        <f aca="false">COUNTIFS(Data!$B$2:$B$1201,$A64,Data!$J$2:$J$1201,"Delivered")</f>
        <v>17</v>
      </c>
      <c r="E64" s="31" t="n">
        <f aca="false">COUNTIFS(Data!$B$2:$B$1201,$A64,Data!$J$2:$J$1201,"Returned")</f>
        <v>0</v>
      </c>
      <c r="F64" s="31" t="n">
        <f aca="false">COUNTIFS(Data!$B$2:$B$1201,$A64,Data!$J$2:$J$1201,"Cancelled")</f>
        <v>2</v>
      </c>
      <c r="G64" s="31" t="n">
        <f aca="false">COUNTIFS(Data!$B$2:$B$1201,$A64,Data!$J$2:$J$1201,"RTO")</f>
        <v>2</v>
      </c>
      <c r="H64" s="33" t="n">
        <f aca="false">IFERROR(D64/B64,0)</f>
        <v>0.80952380952381</v>
      </c>
      <c r="I64" s="33" t="n">
        <f aca="false">IFERROR(E64/B64,0)</f>
        <v>0</v>
      </c>
      <c r="J64" s="31" t="n">
        <f aca="false">COUNTIFS(Data!$B$2:$B$1201,$A64,Data!$I$2:$I$1201,"COD")</f>
        <v>11</v>
      </c>
    </row>
    <row r="65" customFormat="false" ht="15" hidden="false" customHeight="false" outlineLevel="0" collapsed="false">
      <c r="A65" s="35" t="n">
        <v>46264</v>
      </c>
      <c r="B65" s="31" t="n">
        <f aca="false">COUNTIFS(Data!$B$2:$B$1201,A65)</f>
        <v>20</v>
      </c>
      <c r="C65" s="32" t="n">
        <f aca="false">SUMIFS(Data!$H$2:$H$1201,Data!$B$2:$B$1201,A65)</f>
        <v>17822</v>
      </c>
      <c r="D65" s="31" t="n">
        <f aca="false">COUNTIFS(Data!$B$2:$B$1201,$A65,Data!$J$2:$J$1201,"Delivered")</f>
        <v>18</v>
      </c>
      <c r="E65" s="31" t="n">
        <f aca="false">COUNTIFS(Data!$B$2:$B$1201,$A65,Data!$J$2:$J$1201,"Returned")</f>
        <v>0</v>
      </c>
      <c r="F65" s="31" t="n">
        <f aca="false">COUNTIFS(Data!$B$2:$B$1201,$A65,Data!$J$2:$J$1201,"Cancelled")</f>
        <v>0</v>
      </c>
      <c r="G65" s="31" t="n">
        <f aca="false">COUNTIFS(Data!$B$2:$B$1201,$A65,Data!$J$2:$J$1201,"RTO")</f>
        <v>2</v>
      </c>
      <c r="H65" s="33" t="n">
        <f aca="false">IFERROR(D65/B65,0)</f>
        <v>0.9</v>
      </c>
      <c r="I65" s="33" t="n">
        <f aca="false">IFERROR(E65/B65,0)</f>
        <v>0</v>
      </c>
      <c r="J65" s="31" t="n">
        <f aca="false">COUNTIFS(Data!$B$2:$B$1201,$A65,Data!$I$2:$I$1201,"COD")</f>
        <v>7</v>
      </c>
    </row>
    <row r="66" customFormat="false" ht="15" hidden="false" customHeight="false" outlineLevel="0" collapsed="false">
      <c r="A66" s="35" t="n">
        <v>46265</v>
      </c>
      <c r="B66" s="31" t="n">
        <f aca="false">COUNTIFS(Data!$B$2:$B$1201,A66)</f>
        <v>11</v>
      </c>
      <c r="C66" s="32" t="n">
        <f aca="false">SUMIFS(Data!$H$2:$H$1201,Data!$B$2:$B$1201,A66)</f>
        <v>7066</v>
      </c>
      <c r="D66" s="31" t="n">
        <f aca="false">COUNTIFS(Data!$B$2:$B$1201,$A66,Data!$J$2:$J$1201,"Delivered")</f>
        <v>8</v>
      </c>
      <c r="E66" s="31" t="n">
        <f aca="false">COUNTIFS(Data!$B$2:$B$1201,$A66,Data!$J$2:$J$1201,"Returned")</f>
        <v>0</v>
      </c>
      <c r="F66" s="31" t="n">
        <f aca="false">COUNTIFS(Data!$B$2:$B$1201,$A66,Data!$J$2:$J$1201,"Cancelled")</f>
        <v>1</v>
      </c>
      <c r="G66" s="31" t="n">
        <f aca="false">COUNTIFS(Data!$B$2:$B$1201,$A66,Data!$J$2:$J$1201,"RTO")</f>
        <v>2</v>
      </c>
      <c r="H66" s="33" t="n">
        <f aca="false">IFERROR(D66/B66,0)</f>
        <v>0.727272727272727</v>
      </c>
      <c r="I66" s="33" t="n">
        <f aca="false">IFERROR(E66/B66,0)</f>
        <v>0</v>
      </c>
      <c r="J66" s="31" t="n">
        <f aca="false">COUNTIFS(Data!$B$2:$B$1201,$A66,Data!$I$2:$I$1201,"COD")</f>
        <v>6</v>
      </c>
    </row>
    <row r="67" customFormat="false" ht="15" hidden="false" customHeight="false" outlineLevel="0" collapsed="false">
      <c r="A67" s="35" t="n">
        <v>46266</v>
      </c>
      <c r="B67" s="31" t="n">
        <f aca="false">COUNTIFS(Data!$B$2:$B$1201,A67)</f>
        <v>15</v>
      </c>
      <c r="C67" s="32" t="n">
        <f aca="false">SUMIFS(Data!$H$2:$H$1201,Data!$B$2:$B$1201,A67)</f>
        <v>13594</v>
      </c>
      <c r="D67" s="31" t="n">
        <f aca="false">COUNTIFS(Data!$B$2:$B$1201,$A67,Data!$J$2:$J$1201,"Delivered")</f>
        <v>11</v>
      </c>
      <c r="E67" s="31" t="n">
        <f aca="false">COUNTIFS(Data!$B$2:$B$1201,$A67,Data!$J$2:$J$1201,"Returned")</f>
        <v>0</v>
      </c>
      <c r="F67" s="31" t="n">
        <f aca="false">COUNTIFS(Data!$B$2:$B$1201,$A67,Data!$J$2:$J$1201,"Cancelled")</f>
        <v>1</v>
      </c>
      <c r="G67" s="31" t="n">
        <f aca="false">COUNTIFS(Data!$B$2:$B$1201,$A67,Data!$J$2:$J$1201,"RTO")</f>
        <v>3</v>
      </c>
      <c r="H67" s="33" t="n">
        <f aca="false">IFERROR(D67/B67,0)</f>
        <v>0.733333333333333</v>
      </c>
      <c r="I67" s="33" t="n">
        <f aca="false">IFERROR(E67/B67,0)</f>
        <v>0</v>
      </c>
      <c r="J67" s="31" t="n">
        <f aca="false">COUNTIFS(Data!$B$2:$B$1201,$A67,Data!$I$2:$I$1201,"COD")</f>
        <v>7</v>
      </c>
    </row>
    <row r="68" customFormat="false" ht="15" hidden="false" customHeight="false" outlineLevel="0" collapsed="false">
      <c r="A68" s="35" t="n">
        <v>46267</v>
      </c>
      <c r="B68" s="31" t="n">
        <f aca="false">COUNTIFS(Data!$B$2:$B$1201,A68)</f>
        <v>10</v>
      </c>
      <c r="C68" s="32" t="n">
        <f aca="false">SUMIFS(Data!$H$2:$H$1201,Data!$B$2:$B$1201,A68)</f>
        <v>8364</v>
      </c>
      <c r="D68" s="31" t="n">
        <f aca="false">COUNTIFS(Data!$B$2:$B$1201,$A68,Data!$J$2:$J$1201,"Delivered")</f>
        <v>8</v>
      </c>
      <c r="E68" s="31" t="n">
        <f aca="false">COUNTIFS(Data!$B$2:$B$1201,$A68,Data!$J$2:$J$1201,"Returned")</f>
        <v>1</v>
      </c>
      <c r="F68" s="31" t="n">
        <f aca="false">COUNTIFS(Data!$B$2:$B$1201,$A68,Data!$J$2:$J$1201,"Cancelled")</f>
        <v>0</v>
      </c>
      <c r="G68" s="31" t="n">
        <f aca="false">COUNTIFS(Data!$B$2:$B$1201,$A68,Data!$J$2:$J$1201,"RTO")</f>
        <v>1</v>
      </c>
      <c r="H68" s="33" t="n">
        <f aca="false">IFERROR(D68/B68,0)</f>
        <v>0.8</v>
      </c>
      <c r="I68" s="33" t="n">
        <f aca="false">IFERROR(E68/B68,0)</f>
        <v>0.1</v>
      </c>
      <c r="J68" s="31" t="n">
        <f aca="false">COUNTIFS(Data!$B$2:$B$1201,$A68,Data!$I$2:$I$1201,"COD")</f>
        <v>3</v>
      </c>
    </row>
    <row r="69" customFormat="false" ht="15" hidden="false" customHeight="false" outlineLevel="0" collapsed="false">
      <c r="A69" s="35" t="n">
        <v>46268</v>
      </c>
      <c r="B69" s="31" t="n">
        <f aca="false">COUNTIFS(Data!$B$2:$B$1201,A69)</f>
        <v>14</v>
      </c>
      <c r="C69" s="32" t="n">
        <f aca="false">SUMIFS(Data!$H$2:$H$1201,Data!$B$2:$B$1201,A69)</f>
        <v>12398</v>
      </c>
      <c r="D69" s="31" t="n">
        <f aca="false">COUNTIFS(Data!$B$2:$B$1201,$A69,Data!$J$2:$J$1201,"Delivered")</f>
        <v>13</v>
      </c>
      <c r="E69" s="31" t="n">
        <f aca="false">COUNTIFS(Data!$B$2:$B$1201,$A69,Data!$J$2:$J$1201,"Returned")</f>
        <v>1</v>
      </c>
      <c r="F69" s="31" t="n">
        <f aca="false">COUNTIFS(Data!$B$2:$B$1201,$A69,Data!$J$2:$J$1201,"Cancelled")</f>
        <v>0</v>
      </c>
      <c r="G69" s="31" t="n">
        <f aca="false">COUNTIFS(Data!$B$2:$B$1201,$A69,Data!$J$2:$J$1201,"RTO")</f>
        <v>0</v>
      </c>
      <c r="H69" s="33" t="n">
        <f aca="false">IFERROR(D69/B69,0)</f>
        <v>0.928571428571429</v>
      </c>
      <c r="I69" s="33" t="n">
        <f aca="false">IFERROR(E69/B69,0)</f>
        <v>0.0714285714285714</v>
      </c>
      <c r="J69" s="31" t="n">
        <f aca="false">COUNTIFS(Data!$B$2:$B$1201,$A69,Data!$I$2:$I$1201,"COD")</f>
        <v>7</v>
      </c>
    </row>
    <row r="70" customFormat="false" ht="15" hidden="false" customHeight="false" outlineLevel="0" collapsed="false">
      <c r="A70" s="35" t="n">
        <v>46269</v>
      </c>
      <c r="B70" s="31" t="n">
        <f aca="false">COUNTIFS(Data!$B$2:$B$1201,A70)</f>
        <v>11</v>
      </c>
      <c r="C70" s="32" t="n">
        <f aca="false">SUMIFS(Data!$H$2:$H$1201,Data!$B$2:$B$1201,A70)</f>
        <v>12242</v>
      </c>
      <c r="D70" s="31" t="n">
        <f aca="false">COUNTIFS(Data!$B$2:$B$1201,$A70,Data!$J$2:$J$1201,"Delivered")</f>
        <v>8</v>
      </c>
      <c r="E70" s="31" t="n">
        <f aca="false">COUNTIFS(Data!$B$2:$B$1201,$A70,Data!$J$2:$J$1201,"Returned")</f>
        <v>1</v>
      </c>
      <c r="F70" s="31" t="n">
        <f aca="false">COUNTIFS(Data!$B$2:$B$1201,$A70,Data!$J$2:$J$1201,"Cancelled")</f>
        <v>1</v>
      </c>
      <c r="G70" s="31" t="n">
        <f aca="false">COUNTIFS(Data!$B$2:$B$1201,$A70,Data!$J$2:$J$1201,"RTO")</f>
        <v>1</v>
      </c>
      <c r="H70" s="33" t="n">
        <f aca="false">IFERROR(D70/B70,0)</f>
        <v>0.727272727272727</v>
      </c>
      <c r="I70" s="33" t="n">
        <f aca="false">IFERROR(E70/B70,0)</f>
        <v>0.0909090909090909</v>
      </c>
      <c r="J70" s="31" t="n">
        <f aca="false">COUNTIFS(Data!$B$2:$B$1201,$A70,Data!$I$2:$I$1201,"COD")</f>
        <v>6</v>
      </c>
    </row>
    <row r="71" customFormat="false" ht="15" hidden="false" customHeight="false" outlineLevel="0" collapsed="false">
      <c r="A71" s="35" t="n">
        <v>46270</v>
      </c>
      <c r="B71" s="31" t="n">
        <f aca="false">COUNTIFS(Data!$B$2:$B$1201,A71)</f>
        <v>18</v>
      </c>
      <c r="C71" s="32" t="n">
        <f aca="false">SUMIFS(Data!$H$2:$H$1201,Data!$B$2:$B$1201,A71)</f>
        <v>16996</v>
      </c>
      <c r="D71" s="31" t="n">
        <f aca="false">COUNTIFS(Data!$B$2:$B$1201,$A71,Data!$J$2:$J$1201,"Delivered")</f>
        <v>13</v>
      </c>
      <c r="E71" s="31" t="n">
        <f aca="false">COUNTIFS(Data!$B$2:$B$1201,$A71,Data!$J$2:$J$1201,"Returned")</f>
        <v>2</v>
      </c>
      <c r="F71" s="31" t="n">
        <f aca="false">COUNTIFS(Data!$B$2:$B$1201,$A71,Data!$J$2:$J$1201,"Cancelled")</f>
        <v>1</v>
      </c>
      <c r="G71" s="31" t="n">
        <f aca="false">COUNTIFS(Data!$B$2:$B$1201,$A71,Data!$J$2:$J$1201,"RTO")</f>
        <v>2</v>
      </c>
      <c r="H71" s="33" t="n">
        <f aca="false">IFERROR(D71/B71,0)</f>
        <v>0.722222222222222</v>
      </c>
      <c r="I71" s="33" t="n">
        <f aca="false">IFERROR(E71/B71,0)</f>
        <v>0.111111111111111</v>
      </c>
      <c r="J71" s="31" t="n">
        <f aca="false">COUNTIFS(Data!$B$2:$B$1201,$A71,Data!$I$2:$I$1201,"COD")</f>
        <v>8</v>
      </c>
    </row>
    <row r="72" customFormat="false" ht="15" hidden="false" customHeight="false" outlineLevel="0" collapsed="false">
      <c r="A72" s="35" t="n">
        <v>46271</v>
      </c>
      <c r="B72" s="31" t="n">
        <f aca="false">COUNTIFS(Data!$B$2:$B$1201,A72)</f>
        <v>11</v>
      </c>
      <c r="C72" s="32" t="n">
        <f aca="false">SUMIFS(Data!$H$2:$H$1201,Data!$B$2:$B$1201,A72)</f>
        <v>9060</v>
      </c>
      <c r="D72" s="31" t="n">
        <f aca="false">COUNTIFS(Data!$B$2:$B$1201,$A72,Data!$J$2:$J$1201,"Delivered")</f>
        <v>9</v>
      </c>
      <c r="E72" s="31" t="n">
        <f aca="false">COUNTIFS(Data!$B$2:$B$1201,$A72,Data!$J$2:$J$1201,"Returned")</f>
        <v>0</v>
      </c>
      <c r="F72" s="31" t="n">
        <f aca="false">COUNTIFS(Data!$B$2:$B$1201,$A72,Data!$J$2:$J$1201,"Cancelled")</f>
        <v>1</v>
      </c>
      <c r="G72" s="31" t="n">
        <f aca="false">COUNTIFS(Data!$B$2:$B$1201,$A72,Data!$J$2:$J$1201,"RTO")</f>
        <v>1</v>
      </c>
      <c r="H72" s="33" t="n">
        <f aca="false">IFERROR(D72/B72,0)</f>
        <v>0.818181818181818</v>
      </c>
      <c r="I72" s="33" t="n">
        <f aca="false">IFERROR(E72/B72,0)</f>
        <v>0</v>
      </c>
      <c r="J72" s="31" t="n">
        <f aca="false">COUNTIFS(Data!$B$2:$B$1201,$A72,Data!$I$2:$I$1201,"COD")</f>
        <v>6</v>
      </c>
    </row>
    <row r="73" customFormat="false" ht="15" hidden="false" customHeight="false" outlineLevel="0" collapsed="false">
      <c r="A73" s="35" t="n">
        <v>46272</v>
      </c>
      <c r="B73" s="31" t="n">
        <f aca="false">COUNTIFS(Data!$B$2:$B$1201,A73)</f>
        <v>10</v>
      </c>
      <c r="C73" s="32" t="n">
        <f aca="false">SUMIFS(Data!$H$2:$H$1201,Data!$B$2:$B$1201,A73)</f>
        <v>6058</v>
      </c>
      <c r="D73" s="31" t="n">
        <f aca="false">COUNTIFS(Data!$B$2:$B$1201,$A73,Data!$J$2:$J$1201,"Delivered")</f>
        <v>9</v>
      </c>
      <c r="E73" s="31" t="n">
        <f aca="false">COUNTIFS(Data!$B$2:$B$1201,$A73,Data!$J$2:$J$1201,"Returned")</f>
        <v>0</v>
      </c>
      <c r="F73" s="31" t="n">
        <f aca="false">COUNTIFS(Data!$B$2:$B$1201,$A73,Data!$J$2:$J$1201,"Cancelled")</f>
        <v>0</v>
      </c>
      <c r="G73" s="31" t="n">
        <f aca="false">COUNTIFS(Data!$B$2:$B$1201,$A73,Data!$J$2:$J$1201,"RTO")</f>
        <v>1</v>
      </c>
      <c r="H73" s="33" t="n">
        <f aca="false">IFERROR(D73/B73,0)</f>
        <v>0.9</v>
      </c>
      <c r="I73" s="33" t="n">
        <f aca="false">IFERROR(E73/B73,0)</f>
        <v>0</v>
      </c>
      <c r="J73" s="31" t="n">
        <f aca="false">COUNTIFS(Data!$B$2:$B$1201,$A73,Data!$I$2:$I$1201,"COD")</f>
        <v>6</v>
      </c>
    </row>
    <row r="74" customFormat="false" ht="15" hidden="false" customHeight="false" outlineLevel="0" collapsed="false">
      <c r="A74" s="35" t="n">
        <v>46273</v>
      </c>
      <c r="B74" s="31" t="n">
        <f aca="false">COUNTIFS(Data!$B$2:$B$1201,A74)</f>
        <v>17</v>
      </c>
      <c r="C74" s="32" t="n">
        <f aca="false">SUMIFS(Data!$H$2:$H$1201,Data!$B$2:$B$1201,A74)</f>
        <v>12424</v>
      </c>
      <c r="D74" s="31" t="n">
        <f aca="false">COUNTIFS(Data!$B$2:$B$1201,$A74,Data!$J$2:$J$1201,"Delivered")</f>
        <v>14</v>
      </c>
      <c r="E74" s="31" t="n">
        <f aca="false">COUNTIFS(Data!$B$2:$B$1201,$A74,Data!$J$2:$J$1201,"Returned")</f>
        <v>0</v>
      </c>
      <c r="F74" s="31" t="n">
        <f aca="false">COUNTIFS(Data!$B$2:$B$1201,$A74,Data!$J$2:$J$1201,"Cancelled")</f>
        <v>1</v>
      </c>
      <c r="G74" s="31" t="n">
        <f aca="false">COUNTIFS(Data!$B$2:$B$1201,$A74,Data!$J$2:$J$1201,"RTO")</f>
        <v>2</v>
      </c>
      <c r="H74" s="33" t="n">
        <f aca="false">IFERROR(D74/B74,0)</f>
        <v>0.823529411764706</v>
      </c>
      <c r="I74" s="33" t="n">
        <f aca="false">IFERROR(E74/B74,0)</f>
        <v>0</v>
      </c>
      <c r="J74" s="31" t="n">
        <f aca="false">COUNTIFS(Data!$B$2:$B$1201,$A74,Data!$I$2:$I$1201,"COD")</f>
        <v>7</v>
      </c>
    </row>
    <row r="75" customFormat="false" ht="15" hidden="false" customHeight="false" outlineLevel="0" collapsed="false">
      <c r="A75" s="35" t="n">
        <v>46274</v>
      </c>
      <c r="B75" s="31" t="n">
        <f aca="false">COUNTIFS(Data!$B$2:$B$1201,A75)</f>
        <v>11</v>
      </c>
      <c r="C75" s="32" t="n">
        <f aca="false">SUMIFS(Data!$H$2:$H$1201,Data!$B$2:$B$1201,A75)</f>
        <v>9596</v>
      </c>
      <c r="D75" s="31" t="n">
        <f aca="false">COUNTIFS(Data!$B$2:$B$1201,$A75,Data!$J$2:$J$1201,"Delivered")</f>
        <v>11</v>
      </c>
      <c r="E75" s="31" t="n">
        <f aca="false">COUNTIFS(Data!$B$2:$B$1201,$A75,Data!$J$2:$J$1201,"Returned")</f>
        <v>0</v>
      </c>
      <c r="F75" s="31" t="n">
        <f aca="false">COUNTIFS(Data!$B$2:$B$1201,$A75,Data!$J$2:$J$1201,"Cancelled")</f>
        <v>0</v>
      </c>
      <c r="G75" s="31" t="n">
        <f aca="false">COUNTIFS(Data!$B$2:$B$1201,$A75,Data!$J$2:$J$1201,"RTO")</f>
        <v>0</v>
      </c>
      <c r="H75" s="33" t="n">
        <f aca="false">IFERROR(D75/B75,0)</f>
        <v>1</v>
      </c>
      <c r="I75" s="33" t="n">
        <f aca="false">IFERROR(E75/B75,0)</f>
        <v>0</v>
      </c>
      <c r="J75" s="31" t="n">
        <f aca="false">COUNTIFS(Data!$B$2:$B$1201,$A75,Data!$I$2:$I$1201,"COD")</f>
        <v>4</v>
      </c>
    </row>
    <row r="76" customFormat="false" ht="15" hidden="false" customHeight="false" outlineLevel="0" collapsed="false">
      <c r="A76" s="35" t="n">
        <v>46275</v>
      </c>
      <c r="B76" s="31" t="n">
        <f aca="false">COUNTIFS(Data!$B$2:$B$1201,A76)</f>
        <v>13</v>
      </c>
      <c r="C76" s="32" t="n">
        <f aca="false">SUMIFS(Data!$H$2:$H$1201,Data!$B$2:$B$1201,A76)</f>
        <v>9918</v>
      </c>
      <c r="D76" s="31" t="n">
        <f aca="false">COUNTIFS(Data!$B$2:$B$1201,$A76,Data!$J$2:$J$1201,"Delivered")</f>
        <v>9</v>
      </c>
      <c r="E76" s="31" t="n">
        <f aca="false">COUNTIFS(Data!$B$2:$B$1201,$A76,Data!$J$2:$J$1201,"Returned")</f>
        <v>3</v>
      </c>
      <c r="F76" s="31" t="n">
        <f aca="false">COUNTIFS(Data!$B$2:$B$1201,$A76,Data!$J$2:$J$1201,"Cancelled")</f>
        <v>0</v>
      </c>
      <c r="G76" s="31" t="n">
        <f aca="false">COUNTIFS(Data!$B$2:$B$1201,$A76,Data!$J$2:$J$1201,"RTO")</f>
        <v>1</v>
      </c>
      <c r="H76" s="33" t="n">
        <f aca="false">IFERROR(D76/B76,0)</f>
        <v>0.692307692307692</v>
      </c>
      <c r="I76" s="33" t="n">
        <f aca="false">IFERROR(E76/B76,0)</f>
        <v>0.230769230769231</v>
      </c>
      <c r="J76" s="31" t="n">
        <f aca="false">COUNTIFS(Data!$B$2:$B$1201,$A76,Data!$I$2:$I$1201,"COD")</f>
        <v>7</v>
      </c>
    </row>
    <row r="77" customFormat="false" ht="15" hidden="false" customHeight="false" outlineLevel="0" collapsed="false">
      <c r="A77" s="35" t="n">
        <v>46276</v>
      </c>
      <c r="B77" s="31" t="n">
        <f aca="false">COUNTIFS(Data!$B$2:$B$1201,A77)</f>
        <v>13</v>
      </c>
      <c r="C77" s="32" t="n">
        <f aca="false">SUMIFS(Data!$H$2:$H$1201,Data!$B$2:$B$1201,A77)</f>
        <v>10436</v>
      </c>
      <c r="D77" s="31" t="n">
        <f aca="false">COUNTIFS(Data!$B$2:$B$1201,$A77,Data!$J$2:$J$1201,"Delivered")</f>
        <v>10</v>
      </c>
      <c r="E77" s="31" t="n">
        <f aca="false">COUNTIFS(Data!$B$2:$B$1201,$A77,Data!$J$2:$J$1201,"Returned")</f>
        <v>2</v>
      </c>
      <c r="F77" s="31" t="n">
        <f aca="false">COUNTIFS(Data!$B$2:$B$1201,$A77,Data!$J$2:$J$1201,"Cancelled")</f>
        <v>0</v>
      </c>
      <c r="G77" s="31" t="n">
        <f aca="false">COUNTIFS(Data!$B$2:$B$1201,$A77,Data!$J$2:$J$1201,"RTO")</f>
        <v>1</v>
      </c>
      <c r="H77" s="33" t="n">
        <f aca="false">IFERROR(D77/B77,0)</f>
        <v>0.769230769230769</v>
      </c>
      <c r="I77" s="33" t="n">
        <f aca="false">IFERROR(E77/B77,0)</f>
        <v>0.153846153846154</v>
      </c>
      <c r="J77" s="31" t="n">
        <f aca="false">COUNTIFS(Data!$B$2:$B$1201,$A77,Data!$I$2:$I$1201,"COD")</f>
        <v>5</v>
      </c>
    </row>
    <row r="78" customFormat="false" ht="15" hidden="false" customHeight="false" outlineLevel="0" collapsed="false">
      <c r="A78" s="35" t="n">
        <v>46277</v>
      </c>
      <c r="B78" s="31" t="n">
        <f aca="false">COUNTIFS(Data!$B$2:$B$1201,A78)</f>
        <v>14</v>
      </c>
      <c r="C78" s="32" t="n">
        <f aca="false">SUMIFS(Data!$H$2:$H$1201,Data!$B$2:$B$1201,A78)</f>
        <v>11290</v>
      </c>
      <c r="D78" s="31" t="n">
        <f aca="false">COUNTIFS(Data!$B$2:$B$1201,$A78,Data!$J$2:$J$1201,"Delivered")</f>
        <v>12</v>
      </c>
      <c r="E78" s="31" t="n">
        <f aca="false">COUNTIFS(Data!$B$2:$B$1201,$A78,Data!$J$2:$J$1201,"Returned")</f>
        <v>0</v>
      </c>
      <c r="F78" s="31" t="n">
        <f aca="false">COUNTIFS(Data!$B$2:$B$1201,$A78,Data!$J$2:$J$1201,"Cancelled")</f>
        <v>0</v>
      </c>
      <c r="G78" s="31" t="n">
        <f aca="false">COUNTIFS(Data!$B$2:$B$1201,$A78,Data!$J$2:$J$1201,"RTO")</f>
        <v>2</v>
      </c>
      <c r="H78" s="33" t="n">
        <f aca="false">IFERROR(D78/B78,0)</f>
        <v>0.857142857142857</v>
      </c>
      <c r="I78" s="33" t="n">
        <f aca="false">IFERROR(E78/B78,0)</f>
        <v>0</v>
      </c>
      <c r="J78" s="31" t="n">
        <f aca="false">COUNTIFS(Data!$B$2:$B$1201,$A78,Data!$I$2:$I$1201,"COD")</f>
        <v>4</v>
      </c>
    </row>
    <row r="79" customFormat="false" ht="15" hidden="false" customHeight="false" outlineLevel="0" collapsed="false">
      <c r="A79" s="35" t="n">
        <v>46278</v>
      </c>
      <c r="B79" s="31" t="n">
        <f aca="false">COUNTIFS(Data!$B$2:$B$1201,A79)</f>
        <v>12</v>
      </c>
      <c r="C79" s="32" t="n">
        <f aca="false">SUMIFS(Data!$H$2:$H$1201,Data!$B$2:$B$1201,A79)</f>
        <v>8940</v>
      </c>
      <c r="D79" s="31" t="n">
        <f aca="false">COUNTIFS(Data!$B$2:$B$1201,$A79,Data!$J$2:$J$1201,"Delivered")</f>
        <v>11</v>
      </c>
      <c r="E79" s="31" t="n">
        <f aca="false">COUNTIFS(Data!$B$2:$B$1201,$A79,Data!$J$2:$J$1201,"Returned")</f>
        <v>0</v>
      </c>
      <c r="F79" s="31" t="n">
        <f aca="false">COUNTIFS(Data!$B$2:$B$1201,$A79,Data!$J$2:$J$1201,"Cancelled")</f>
        <v>0</v>
      </c>
      <c r="G79" s="31" t="n">
        <f aca="false">COUNTIFS(Data!$B$2:$B$1201,$A79,Data!$J$2:$J$1201,"RTO")</f>
        <v>1</v>
      </c>
      <c r="H79" s="33" t="n">
        <f aca="false">IFERROR(D79/B79,0)</f>
        <v>0.916666666666667</v>
      </c>
      <c r="I79" s="33" t="n">
        <f aca="false">IFERROR(E79/B79,0)</f>
        <v>0</v>
      </c>
      <c r="J79" s="31" t="n">
        <f aca="false">COUNTIFS(Data!$B$2:$B$1201,$A79,Data!$I$2:$I$1201,"COD")</f>
        <v>5</v>
      </c>
    </row>
    <row r="80" customFormat="false" ht="15" hidden="false" customHeight="false" outlineLevel="0" collapsed="false">
      <c r="A80" s="35" t="n">
        <v>46279</v>
      </c>
      <c r="B80" s="31" t="n">
        <f aca="false">COUNTIFS(Data!$B$2:$B$1201,A80)</f>
        <v>12</v>
      </c>
      <c r="C80" s="32" t="n">
        <f aca="false">SUMIFS(Data!$H$2:$H$1201,Data!$B$2:$B$1201,A80)</f>
        <v>8858</v>
      </c>
      <c r="D80" s="31" t="n">
        <f aca="false">COUNTIFS(Data!$B$2:$B$1201,$A80,Data!$J$2:$J$1201,"Delivered")</f>
        <v>11</v>
      </c>
      <c r="E80" s="31" t="n">
        <f aca="false">COUNTIFS(Data!$B$2:$B$1201,$A80,Data!$J$2:$J$1201,"Returned")</f>
        <v>0</v>
      </c>
      <c r="F80" s="31" t="n">
        <f aca="false">COUNTIFS(Data!$B$2:$B$1201,$A80,Data!$J$2:$J$1201,"Cancelled")</f>
        <v>0</v>
      </c>
      <c r="G80" s="31" t="n">
        <f aca="false">COUNTIFS(Data!$B$2:$B$1201,$A80,Data!$J$2:$J$1201,"RTO")</f>
        <v>1</v>
      </c>
      <c r="H80" s="33" t="n">
        <f aca="false">IFERROR(D80/B80,0)</f>
        <v>0.916666666666667</v>
      </c>
      <c r="I80" s="33" t="n">
        <f aca="false">IFERROR(E80/B80,0)</f>
        <v>0</v>
      </c>
      <c r="J80" s="31" t="n">
        <f aca="false">COUNTIFS(Data!$B$2:$B$1201,$A80,Data!$I$2:$I$1201,"COD")</f>
        <v>6</v>
      </c>
    </row>
    <row r="81" customFormat="false" ht="15" hidden="false" customHeight="false" outlineLevel="0" collapsed="false">
      <c r="A81" s="35" t="n">
        <v>46280</v>
      </c>
      <c r="B81" s="31" t="n">
        <f aca="false">COUNTIFS(Data!$B$2:$B$1201,A81)</f>
        <v>20</v>
      </c>
      <c r="C81" s="32" t="n">
        <f aca="false">SUMIFS(Data!$H$2:$H$1201,Data!$B$2:$B$1201,A81)</f>
        <v>16990</v>
      </c>
      <c r="D81" s="31" t="n">
        <f aca="false">COUNTIFS(Data!$B$2:$B$1201,$A81,Data!$J$2:$J$1201,"Delivered")</f>
        <v>16</v>
      </c>
      <c r="E81" s="31" t="n">
        <f aca="false">COUNTIFS(Data!$B$2:$B$1201,$A81,Data!$J$2:$J$1201,"Returned")</f>
        <v>0</v>
      </c>
      <c r="F81" s="31" t="n">
        <f aca="false">COUNTIFS(Data!$B$2:$B$1201,$A81,Data!$J$2:$J$1201,"Cancelled")</f>
        <v>2</v>
      </c>
      <c r="G81" s="31" t="n">
        <f aca="false">COUNTIFS(Data!$B$2:$B$1201,$A81,Data!$J$2:$J$1201,"RTO")</f>
        <v>2</v>
      </c>
      <c r="H81" s="33" t="n">
        <f aca="false">IFERROR(D81/B81,0)</f>
        <v>0.8</v>
      </c>
      <c r="I81" s="33" t="n">
        <f aca="false">IFERROR(E81/B81,0)</f>
        <v>0</v>
      </c>
      <c r="J81" s="31" t="n">
        <f aca="false">COUNTIFS(Data!$B$2:$B$1201,$A81,Data!$I$2:$I$1201,"COD")</f>
        <v>8</v>
      </c>
    </row>
    <row r="82" customFormat="false" ht="15" hidden="false" customHeight="false" outlineLevel="0" collapsed="false">
      <c r="A82" s="35" t="n">
        <v>46281</v>
      </c>
      <c r="B82" s="31" t="n">
        <f aca="false">COUNTIFS(Data!$B$2:$B$1201,A82)</f>
        <v>11</v>
      </c>
      <c r="C82" s="32" t="n">
        <f aca="false">SUMIFS(Data!$H$2:$H$1201,Data!$B$2:$B$1201,A82)</f>
        <v>8888</v>
      </c>
      <c r="D82" s="31" t="n">
        <f aca="false">COUNTIFS(Data!$B$2:$B$1201,$A82,Data!$J$2:$J$1201,"Delivered")</f>
        <v>9</v>
      </c>
      <c r="E82" s="31" t="n">
        <f aca="false">COUNTIFS(Data!$B$2:$B$1201,$A82,Data!$J$2:$J$1201,"Returned")</f>
        <v>0</v>
      </c>
      <c r="F82" s="31" t="n">
        <f aca="false">COUNTIFS(Data!$B$2:$B$1201,$A82,Data!$J$2:$J$1201,"Cancelled")</f>
        <v>1</v>
      </c>
      <c r="G82" s="31" t="n">
        <f aca="false">COUNTIFS(Data!$B$2:$B$1201,$A82,Data!$J$2:$J$1201,"RTO")</f>
        <v>1</v>
      </c>
      <c r="H82" s="33" t="n">
        <f aca="false">IFERROR(D82/B82,0)</f>
        <v>0.818181818181818</v>
      </c>
      <c r="I82" s="33" t="n">
        <f aca="false">IFERROR(E82/B82,0)</f>
        <v>0</v>
      </c>
      <c r="J82" s="31" t="n">
        <f aca="false">COUNTIFS(Data!$B$2:$B$1201,$A82,Data!$I$2:$I$1201,"COD")</f>
        <v>5</v>
      </c>
    </row>
    <row r="83" customFormat="false" ht="15" hidden="false" customHeight="false" outlineLevel="0" collapsed="false">
      <c r="A83" s="35" t="n">
        <v>46282</v>
      </c>
      <c r="B83" s="31" t="n">
        <f aca="false">COUNTIFS(Data!$B$2:$B$1201,A83)</f>
        <v>11</v>
      </c>
      <c r="C83" s="32" t="n">
        <f aca="false">SUMIFS(Data!$H$2:$H$1201,Data!$B$2:$B$1201,A83)</f>
        <v>10038</v>
      </c>
      <c r="D83" s="31" t="n">
        <f aca="false">COUNTIFS(Data!$B$2:$B$1201,$A83,Data!$J$2:$J$1201,"Delivered")</f>
        <v>9</v>
      </c>
      <c r="E83" s="31" t="n">
        <f aca="false">COUNTIFS(Data!$B$2:$B$1201,$A83,Data!$J$2:$J$1201,"Returned")</f>
        <v>2</v>
      </c>
      <c r="F83" s="31" t="n">
        <f aca="false">COUNTIFS(Data!$B$2:$B$1201,$A83,Data!$J$2:$J$1201,"Cancelled")</f>
        <v>0</v>
      </c>
      <c r="G83" s="31" t="n">
        <f aca="false">COUNTIFS(Data!$B$2:$B$1201,$A83,Data!$J$2:$J$1201,"RTO")</f>
        <v>0</v>
      </c>
      <c r="H83" s="33" t="n">
        <f aca="false">IFERROR(D83/B83,0)</f>
        <v>0.818181818181818</v>
      </c>
      <c r="I83" s="33" t="n">
        <f aca="false">IFERROR(E83/B83,0)</f>
        <v>0.181818181818182</v>
      </c>
      <c r="J83" s="31" t="n">
        <f aca="false">COUNTIFS(Data!$B$2:$B$1201,$A83,Data!$I$2:$I$1201,"COD")</f>
        <v>2</v>
      </c>
    </row>
    <row r="84" customFormat="false" ht="15" hidden="false" customHeight="false" outlineLevel="0" collapsed="false">
      <c r="A84" s="35" t="n">
        <v>46283</v>
      </c>
      <c r="B84" s="31" t="n">
        <f aca="false">COUNTIFS(Data!$B$2:$B$1201,A84)</f>
        <v>14</v>
      </c>
      <c r="C84" s="32" t="n">
        <f aca="false">SUMIFS(Data!$H$2:$H$1201,Data!$B$2:$B$1201,A84)</f>
        <v>11710</v>
      </c>
      <c r="D84" s="31" t="n">
        <f aca="false">COUNTIFS(Data!$B$2:$B$1201,$A84,Data!$J$2:$J$1201,"Delivered")</f>
        <v>12</v>
      </c>
      <c r="E84" s="31" t="n">
        <f aca="false">COUNTIFS(Data!$B$2:$B$1201,$A84,Data!$J$2:$J$1201,"Returned")</f>
        <v>1</v>
      </c>
      <c r="F84" s="31" t="n">
        <f aca="false">COUNTIFS(Data!$B$2:$B$1201,$A84,Data!$J$2:$J$1201,"Cancelled")</f>
        <v>1</v>
      </c>
      <c r="G84" s="31" t="n">
        <f aca="false">COUNTIFS(Data!$B$2:$B$1201,$A84,Data!$J$2:$J$1201,"RTO")</f>
        <v>0</v>
      </c>
      <c r="H84" s="33" t="n">
        <f aca="false">IFERROR(D84/B84,0)</f>
        <v>0.857142857142857</v>
      </c>
      <c r="I84" s="33" t="n">
        <f aca="false">IFERROR(E84/B84,0)</f>
        <v>0.0714285714285714</v>
      </c>
      <c r="J84" s="31" t="n">
        <f aca="false">COUNTIFS(Data!$B$2:$B$1201,$A84,Data!$I$2:$I$1201,"COD")</f>
        <v>6</v>
      </c>
    </row>
    <row r="85" customFormat="false" ht="15" hidden="false" customHeight="false" outlineLevel="0" collapsed="false">
      <c r="A85" s="35" t="n">
        <v>46284</v>
      </c>
      <c r="B85" s="31" t="n">
        <f aca="false">COUNTIFS(Data!$B$2:$B$1201,A85)</f>
        <v>20</v>
      </c>
      <c r="C85" s="32" t="n">
        <f aca="false">SUMIFS(Data!$H$2:$H$1201,Data!$B$2:$B$1201,A85)</f>
        <v>13120</v>
      </c>
      <c r="D85" s="31" t="n">
        <f aca="false">COUNTIFS(Data!$B$2:$B$1201,$A85,Data!$J$2:$J$1201,"Delivered")</f>
        <v>14</v>
      </c>
      <c r="E85" s="31" t="n">
        <f aca="false">COUNTIFS(Data!$B$2:$B$1201,$A85,Data!$J$2:$J$1201,"Returned")</f>
        <v>4</v>
      </c>
      <c r="F85" s="31" t="n">
        <f aca="false">COUNTIFS(Data!$B$2:$B$1201,$A85,Data!$J$2:$J$1201,"Cancelled")</f>
        <v>0</v>
      </c>
      <c r="G85" s="31" t="n">
        <f aca="false">COUNTIFS(Data!$B$2:$B$1201,$A85,Data!$J$2:$J$1201,"RTO")</f>
        <v>2</v>
      </c>
      <c r="H85" s="33" t="n">
        <f aca="false">IFERROR(D85/B85,0)</f>
        <v>0.7</v>
      </c>
      <c r="I85" s="33" t="n">
        <f aca="false">IFERROR(E85/B85,0)</f>
        <v>0.2</v>
      </c>
      <c r="J85" s="31" t="n">
        <f aca="false">COUNTIFS(Data!$B$2:$B$1201,$A85,Data!$I$2:$I$1201,"COD")</f>
        <v>7</v>
      </c>
    </row>
    <row r="86" customFormat="false" ht="15" hidden="false" customHeight="false" outlineLevel="0" collapsed="false">
      <c r="A86" s="35" t="n">
        <v>46285</v>
      </c>
      <c r="B86" s="31" t="n">
        <f aca="false">COUNTIFS(Data!$B$2:$B$1201,A86)</f>
        <v>16</v>
      </c>
      <c r="C86" s="32" t="n">
        <f aca="false">SUMIFS(Data!$H$2:$H$1201,Data!$B$2:$B$1201,A86)</f>
        <v>16082</v>
      </c>
      <c r="D86" s="31" t="n">
        <f aca="false">COUNTIFS(Data!$B$2:$B$1201,$A86,Data!$J$2:$J$1201,"Delivered")</f>
        <v>13</v>
      </c>
      <c r="E86" s="31" t="n">
        <f aca="false">COUNTIFS(Data!$B$2:$B$1201,$A86,Data!$J$2:$J$1201,"Returned")</f>
        <v>3</v>
      </c>
      <c r="F86" s="31" t="n">
        <f aca="false">COUNTIFS(Data!$B$2:$B$1201,$A86,Data!$J$2:$J$1201,"Cancelled")</f>
        <v>0</v>
      </c>
      <c r="G86" s="31" t="n">
        <f aca="false">COUNTIFS(Data!$B$2:$B$1201,$A86,Data!$J$2:$J$1201,"RTO")</f>
        <v>0</v>
      </c>
      <c r="H86" s="33" t="n">
        <f aca="false">IFERROR(D86/B86,0)</f>
        <v>0.8125</v>
      </c>
      <c r="I86" s="33" t="n">
        <f aca="false">IFERROR(E86/B86,0)</f>
        <v>0.1875</v>
      </c>
      <c r="J86" s="31" t="n">
        <f aca="false">COUNTIFS(Data!$B$2:$B$1201,$A86,Data!$I$2:$I$1201,"COD")</f>
        <v>5</v>
      </c>
    </row>
    <row r="87" customFormat="false" ht="15" hidden="false" customHeight="false" outlineLevel="0" collapsed="false">
      <c r="A87" s="35" t="n">
        <v>46286</v>
      </c>
      <c r="B87" s="31" t="n">
        <f aca="false">COUNTIFS(Data!$B$2:$B$1201,A87)</f>
        <v>11</v>
      </c>
      <c r="C87" s="32" t="n">
        <f aca="false">SUMIFS(Data!$H$2:$H$1201,Data!$B$2:$B$1201,A87)</f>
        <v>8782</v>
      </c>
      <c r="D87" s="31" t="n">
        <f aca="false">COUNTIFS(Data!$B$2:$B$1201,$A87,Data!$J$2:$J$1201,"Delivered")</f>
        <v>7</v>
      </c>
      <c r="E87" s="31" t="n">
        <f aca="false">COUNTIFS(Data!$B$2:$B$1201,$A87,Data!$J$2:$J$1201,"Returned")</f>
        <v>2</v>
      </c>
      <c r="F87" s="31" t="n">
        <f aca="false">COUNTIFS(Data!$B$2:$B$1201,$A87,Data!$J$2:$J$1201,"Cancelled")</f>
        <v>1</v>
      </c>
      <c r="G87" s="31" t="n">
        <f aca="false">COUNTIFS(Data!$B$2:$B$1201,$A87,Data!$J$2:$J$1201,"RTO")</f>
        <v>1</v>
      </c>
      <c r="H87" s="33" t="n">
        <f aca="false">IFERROR(D87/B87,0)</f>
        <v>0.636363636363636</v>
      </c>
      <c r="I87" s="33" t="n">
        <f aca="false">IFERROR(E87/B87,0)</f>
        <v>0.181818181818182</v>
      </c>
      <c r="J87" s="31" t="n">
        <f aca="false">COUNTIFS(Data!$B$2:$B$1201,$A87,Data!$I$2:$I$1201,"COD")</f>
        <v>5</v>
      </c>
    </row>
    <row r="88" customFormat="false" ht="15" hidden="false" customHeight="false" outlineLevel="0" collapsed="false">
      <c r="A88" s="35" t="n">
        <v>46287</v>
      </c>
      <c r="B88" s="31" t="n">
        <f aca="false">COUNTIFS(Data!$B$2:$B$1201,A88)</f>
        <v>13</v>
      </c>
      <c r="C88" s="32" t="n">
        <f aca="false">SUMIFS(Data!$H$2:$H$1201,Data!$B$2:$B$1201,A88)</f>
        <v>8528</v>
      </c>
      <c r="D88" s="31" t="n">
        <f aca="false">COUNTIFS(Data!$B$2:$B$1201,$A88,Data!$J$2:$J$1201,"Delivered")</f>
        <v>7</v>
      </c>
      <c r="E88" s="31" t="n">
        <f aca="false">COUNTIFS(Data!$B$2:$B$1201,$A88,Data!$J$2:$J$1201,"Returned")</f>
        <v>3</v>
      </c>
      <c r="F88" s="31" t="n">
        <f aca="false">COUNTIFS(Data!$B$2:$B$1201,$A88,Data!$J$2:$J$1201,"Cancelled")</f>
        <v>1</v>
      </c>
      <c r="G88" s="31" t="n">
        <f aca="false">COUNTIFS(Data!$B$2:$B$1201,$A88,Data!$J$2:$J$1201,"RTO")</f>
        <v>2</v>
      </c>
      <c r="H88" s="33" t="n">
        <f aca="false">IFERROR(D88/B88,0)</f>
        <v>0.538461538461538</v>
      </c>
      <c r="I88" s="33" t="n">
        <f aca="false">IFERROR(E88/B88,0)</f>
        <v>0.230769230769231</v>
      </c>
      <c r="J88" s="31" t="n">
        <f aca="false">COUNTIFS(Data!$B$2:$B$1201,$A88,Data!$I$2:$I$1201,"COD")</f>
        <v>7</v>
      </c>
    </row>
    <row r="89" customFormat="false" ht="15" hidden="false" customHeight="false" outlineLevel="0" collapsed="false">
      <c r="A89" s="35" t="n">
        <v>46288</v>
      </c>
      <c r="B89" s="31" t="n">
        <f aca="false">COUNTIFS(Data!$B$2:$B$1201,A89)</f>
        <v>14</v>
      </c>
      <c r="C89" s="32" t="n">
        <f aca="false">SUMIFS(Data!$H$2:$H$1201,Data!$B$2:$B$1201,A89)</f>
        <v>15276</v>
      </c>
      <c r="D89" s="31" t="n">
        <f aca="false">COUNTIFS(Data!$B$2:$B$1201,$A89,Data!$J$2:$J$1201,"Delivered")</f>
        <v>11</v>
      </c>
      <c r="E89" s="31" t="n">
        <f aca="false">COUNTIFS(Data!$B$2:$B$1201,$A89,Data!$J$2:$J$1201,"Returned")</f>
        <v>1</v>
      </c>
      <c r="F89" s="31" t="n">
        <f aca="false">COUNTIFS(Data!$B$2:$B$1201,$A89,Data!$J$2:$J$1201,"Cancelled")</f>
        <v>2</v>
      </c>
      <c r="G89" s="31" t="n">
        <f aca="false">COUNTIFS(Data!$B$2:$B$1201,$A89,Data!$J$2:$J$1201,"RTO")</f>
        <v>0</v>
      </c>
      <c r="H89" s="33" t="n">
        <f aca="false">IFERROR(D89/B89,0)</f>
        <v>0.785714285714286</v>
      </c>
      <c r="I89" s="33" t="n">
        <f aca="false">IFERROR(E89/B89,0)</f>
        <v>0.0714285714285714</v>
      </c>
      <c r="J89" s="31" t="n">
        <f aca="false">COUNTIFS(Data!$B$2:$B$1201,$A89,Data!$I$2:$I$1201,"COD")</f>
        <v>6</v>
      </c>
    </row>
    <row r="90" customFormat="false" ht="15" hidden="false" customHeight="false" outlineLevel="0" collapsed="false">
      <c r="A90" s="35" t="n">
        <v>46289</v>
      </c>
      <c r="B90" s="31" t="n">
        <f aca="false">COUNTIFS(Data!$B$2:$B$1201,A90)</f>
        <v>16</v>
      </c>
      <c r="C90" s="32" t="n">
        <f aca="false">SUMIFS(Data!$H$2:$H$1201,Data!$B$2:$B$1201,A90)</f>
        <v>19004</v>
      </c>
      <c r="D90" s="31" t="n">
        <f aca="false">COUNTIFS(Data!$B$2:$B$1201,$A90,Data!$J$2:$J$1201,"Delivered")</f>
        <v>14</v>
      </c>
      <c r="E90" s="31" t="n">
        <f aca="false">COUNTIFS(Data!$B$2:$B$1201,$A90,Data!$J$2:$J$1201,"Returned")</f>
        <v>1</v>
      </c>
      <c r="F90" s="31" t="n">
        <f aca="false">COUNTIFS(Data!$B$2:$B$1201,$A90,Data!$J$2:$J$1201,"Cancelled")</f>
        <v>1</v>
      </c>
      <c r="G90" s="31" t="n">
        <f aca="false">COUNTIFS(Data!$B$2:$B$1201,$A90,Data!$J$2:$J$1201,"RTO")</f>
        <v>0</v>
      </c>
      <c r="H90" s="33" t="n">
        <f aca="false">IFERROR(D90/B90,0)</f>
        <v>0.875</v>
      </c>
      <c r="I90" s="33" t="n">
        <f aca="false">IFERROR(E90/B90,0)</f>
        <v>0.0625</v>
      </c>
      <c r="J90" s="31" t="n">
        <f aca="false">COUNTIFS(Data!$B$2:$B$1201,$A90,Data!$I$2:$I$1201,"COD")</f>
        <v>4</v>
      </c>
    </row>
    <row r="91" customFormat="false" ht="15" hidden="false" customHeight="false" outlineLevel="0" collapsed="false">
      <c r="A91" s="35" t="n">
        <v>46290</v>
      </c>
      <c r="B91" s="31" t="n">
        <f aca="false">COUNTIFS(Data!$B$2:$B$1201,A91)</f>
        <v>15</v>
      </c>
      <c r="C91" s="32" t="n">
        <f aca="false">SUMIFS(Data!$H$2:$H$1201,Data!$B$2:$B$1201,A91)</f>
        <v>9772</v>
      </c>
      <c r="D91" s="31" t="n">
        <f aca="false">COUNTIFS(Data!$B$2:$B$1201,$A91,Data!$J$2:$J$1201,"Delivered")</f>
        <v>13</v>
      </c>
      <c r="E91" s="31" t="n">
        <f aca="false">COUNTIFS(Data!$B$2:$B$1201,$A91,Data!$J$2:$J$1201,"Returned")</f>
        <v>1</v>
      </c>
      <c r="F91" s="31" t="n">
        <f aca="false">COUNTIFS(Data!$B$2:$B$1201,$A91,Data!$J$2:$J$1201,"Cancelled")</f>
        <v>1</v>
      </c>
      <c r="G91" s="31" t="n">
        <f aca="false">COUNTIFS(Data!$B$2:$B$1201,$A91,Data!$J$2:$J$1201,"RTO")</f>
        <v>0</v>
      </c>
      <c r="H91" s="33" t="n">
        <f aca="false">IFERROR(D91/B91,0)</f>
        <v>0.866666666666667</v>
      </c>
      <c r="I91" s="33" t="n">
        <f aca="false">IFERROR(E91/B91,0)</f>
        <v>0.0666666666666667</v>
      </c>
      <c r="J91" s="31" t="n">
        <f aca="false">COUNTIFS(Data!$B$2:$B$1201,$A91,Data!$I$2:$I$1201,"COD")</f>
        <v>7</v>
      </c>
    </row>
    <row r="92" customFormat="false" ht="15" hidden="false" customHeight="false" outlineLevel="0" collapsed="false">
      <c r="A92" s="35" t="n">
        <v>46291</v>
      </c>
      <c r="B92" s="31" t="n">
        <f aca="false">COUNTIFS(Data!$B$2:$B$1201,A92)</f>
        <v>18</v>
      </c>
      <c r="C92" s="32" t="n">
        <f aca="false">SUMIFS(Data!$H$2:$H$1201,Data!$B$2:$B$1201,A92)</f>
        <v>13814</v>
      </c>
      <c r="D92" s="31" t="n">
        <f aca="false">COUNTIFS(Data!$B$2:$B$1201,$A92,Data!$J$2:$J$1201,"Delivered")</f>
        <v>13</v>
      </c>
      <c r="E92" s="31" t="n">
        <f aca="false">COUNTIFS(Data!$B$2:$B$1201,$A92,Data!$J$2:$J$1201,"Returned")</f>
        <v>1</v>
      </c>
      <c r="F92" s="31" t="n">
        <f aca="false">COUNTIFS(Data!$B$2:$B$1201,$A92,Data!$J$2:$J$1201,"Cancelled")</f>
        <v>3</v>
      </c>
      <c r="G92" s="31" t="n">
        <f aca="false">COUNTIFS(Data!$B$2:$B$1201,$A92,Data!$J$2:$J$1201,"RTO")</f>
        <v>1</v>
      </c>
      <c r="H92" s="33" t="n">
        <f aca="false">IFERROR(D92/B92,0)</f>
        <v>0.722222222222222</v>
      </c>
      <c r="I92" s="33" t="n">
        <f aca="false">IFERROR(E92/B92,0)</f>
        <v>0.0555555555555556</v>
      </c>
      <c r="J92" s="31" t="n">
        <f aca="false">COUNTIFS(Data!$B$2:$B$1201,$A92,Data!$I$2:$I$1201,"COD")</f>
        <v>6</v>
      </c>
    </row>
    <row r="93" customFormat="false" ht="15" hidden="false" customHeight="false" outlineLevel="0" collapsed="false">
      <c r="A93" s="35" t="n">
        <v>46292</v>
      </c>
      <c r="B93" s="31" t="n">
        <f aca="false">COUNTIFS(Data!$B$2:$B$1201,A93)</f>
        <v>16</v>
      </c>
      <c r="C93" s="32" t="n">
        <f aca="false">SUMIFS(Data!$H$2:$H$1201,Data!$B$2:$B$1201,A93)</f>
        <v>16400</v>
      </c>
      <c r="D93" s="31" t="n">
        <f aca="false">COUNTIFS(Data!$B$2:$B$1201,$A93,Data!$J$2:$J$1201,"Delivered")</f>
        <v>16</v>
      </c>
      <c r="E93" s="31" t="n">
        <f aca="false">COUNTIFS(Data!$B$2:$B$1201,$A93,Data!$J$2:$J$1201,"Returned")</f>
        <v>0</v>
      </c>
      <c r="F93" s="31" t="n">
        <f aca="false">COUNTIFS(Data!$B$2:$B$1201,$A93,Data!$J$2:$J$1201,"Cancelled")</f>
        <v>0</v>
      </c>
      <c r="G93" s="31" t="n">
        <f aca="false">COUNTIFS(Data!$B$2:$B$1201,$A93,Data!$J$2:$J$1201,"RTO")</f>
        <v>0</v>
      </c>
      <c r="H93" s="33" t="n">
        <f aca="false">IFERROR(D93/B93,0)</f>
        <v>1</v>
      </c>
      <c r="I93" s="33" t="n">
        <f aca="false">IFERROR(E93/B93,0)</f>
        <v>0</v>
      </c>
      <c r="J93" s="31" t="n">
        <f aca="false">COUNTIFS(Data!$B$2:$B$1201,$A93,Data!$I$2:$I$1201,"COD")</f>
        <v>5</v>
      </c>
    </row>
    <row r="94" customFormat="false" ht="15" hidden="false" customHeight="false" outlineLevel="0" collapsed="false">
      <c r="A94" s="35" t="n">
        <v>46293</v>
      </c>
      <c r="B94" s="31" t="n">
        <f aca="false">COUNTIFS(Data!$B$2:$B$1201,A94)</f>
        <v>17</v>
      </c>
      <c r="C94" s="32" t="n">
        <f aca="false">SUMIFS(Data!$H$2:$H$1201,Data!$B$2:$B$1201,A94)</f>
        <v>10250</v>
      </c>
      <c r="D94" s="31" t="n">
        <f aca="false">COUNTIFS(Data!$B$2:$B$1201,$A94,Data!$J$2:$J$1201,"Delivered")</f>
        <v>14</v>
      </c>
      <c r="E94" s="31" t="n">
        <f aca="false">COUNTIFS(Data!$B$2:$B$1201,$A94,Data!$J$2:$J$1201,"Returned")</f>
        <v>2</v>
      </c>
      <c r="F94" s="31" t="n">
        <f aca="false">COUNTIFS(Data!$B$2:$B$1201,$A94,Data!$J$2:$J$1201,"Cancelled")</f>
        <v>1</v>
      </c>
      <c r="G94" s="31" t="n">
        <f aca="false">COUNTIFS(Data!$B$2:$B$1201,$A94,Data!$J$2:$J$1201,"RTO")</f>
        <v>0</v>
      </c>
      <c r="H94" s="33" t="n">
        <f aca="false">IFERROR(D94/B94,0)</f>
        <v>0.823529411764706</v>
      </c>
      <c r="I94" s="33" t="n">
        <f aca="false">IFERROR(E94/B94,0)</f>
        <v>0.117647058823529</v>
      </c>
      <c r="J94" s="31" t="n">
        <f aca="false">COUNTIFS(Data!$B$2:$B$1201,$A94,Data!$I$2:$I$1201,"COD")</f>
        <v>7</v>
      </c>
    </row>
    <row r="95" customFormat="false" ht="15" hidden="false" customHeight="false" outlineLevel="0" collapsed="false">
      <c r="A95" s="35" t="n">
        <v>46294</v>
      </c>
      <c r="B95" s="31" t="n">
        <f aca="false">COUNTIFS(Data!$B$2:$B$1201,A95)</f>
        <v>14</v>
      </c>
      <c r="C95" s="32" t="n">
        <f aca="false">SUMIFS(Data!$H$2:$H$1201,Data!$B$2:$B$1201,A95)</f>
        <v>12078</v>
      </c>
      <c r="D95" s="31" t="n">
        <f aca="false">COUNTIFS(Data!$B$2:$B$1201,$A95,Data!$J$2:$J$1201,"Delivered")</f>
        <v>11</v>
      </c>
      <c r="E95" s="31" t="n">
        <f aca="false">COUNTIFS(Data!$B$2:$B$1201,$A95,Data!$J$2:$J$1201,"Returned")</f>
        <v>2</v>
      </c>
      <c r="F95" s="31" t="n">
        <f aca="false">COUNTIFS(Data!$B$2:$B$1201,$A95,Data!$J$2:$J$1201,"Cancelled")</f>
        <v>1</v>
      </c>
      <c r="G95" s="31" t="n">
        <f aca="false">COUNTIFS(Data!$B$2:$B$1201,$A95,Data!$J$2:$J$1201,"RTO")</f>
        <v>0</v>
      </c>
      <c r="H95" s="33" t="n">
        <f aca="false">IFERROR(D95/B95,0)</f>
        <v>0.785714285714286</v>
      </c>
      <c r="I95" s="33" t="n">
        <f aca="false">IFERROR(E95/B95,0)</f>
        <v>0.142857142857143</v>
      </c>
      <c r="J95" s="31" t="n">
        <f aca="false">COUNTIFS(Data!$B$2:$B$1201,$A95,Data!$I$2:$I$1201,"COD")</f>
        <v>5</v>
      </c>
    </row>
    <row r="96" customFormat="false" ht="15" hidden="false" customHeight="false" outlineLevel="0" collapsed="false">
      <c r="A96" s="35" t="n">
        <v>46295</v>
      </c>
      <c r="B96" s="31" t="n">
        <f aca="false">COUNTIFS(Data!$B$2:$B$1201,A96)</f>
        <v>9</v>
      </c>
      <c r="C96" s="32" t="n">
        <f aca="false">SUMIFS(Data!$H$2:$H$1201,Data!$B$2:$B$1201,A96)</f>
        <v>6428</v>
      </c>
      <c r="D96" s="31" t="n">
        <f aca="false">COUNTIFS(Data!$B$2:$B$1201,$A96,Data!$J$2:$J$1201,"Delivered")</f>
        <v>7</v>
      </c>
      <c r="E96" s="31" t="n">
        <f aca="false">COUNTIFS(Data!$B$2:$B$1201,$A96,Data!$J$2:$J$1201,"Returned")</f>
        <v>1</v>
      </c>
      <c r="F96" s="31" t="n">
        <f aca="false">COUNTIFS(Data!$B$2:$B$1201,$A96,Data!$J$2:$J$1201,"Cancelled")</f>
        <v>1</v>
      </c>
      <c r="G96" s="31" t="n">
        <f aca="false">COUNTIFS(Data!$B$2:$B$1201,$A96,Data!$J$2:$J$1201,"RTO")</f>
        <v>0</v>
      </c>
      <c r="H96" s="33" t="n">
        <f aca="false">IFERROR(D96/B96,0)</f>
        <v>0.777777777777778</v>
      </c>
      <c r="I96" s="33" t="n">
        <f aca="false">IFERROR(E96/B96,0)</f>
        <v>0.111111111111111</v>
      </c>
      <c r="J96" s="31" t="n">
        <f aca="false">COUNTIFS(Data!$B$2:$B$1201,$A96,Data!$I$2:$I$1201,"COD")</f>
        <v>4</v>
      </c>
    </row>
    <row r="97" customFormat="false" ht="15" hidden="false" customHeight="false" outlineLevel="0" collapsed="false">
      <c r="A97" s="36" t="s">
        <v>58</v>
      </c>
      <c r="B97" s="37" t="n">
        <f aca="false">SUM(B5:B96)</f>
        <v>1200</v>
      </c>
      <c r="C97" s="37" t="n">
        <f aca="false">SUM(C5:C96)</f>
        <v>982716</v>
      </c>
      <c r="D97" s="37" t="n">
        <f aca="false">SUM(D5:D96)</f>
        <v>986</v>
      </c>
      <c r="E97" s="37" t="n">
        <f aca="false">SUM(E5:E96)</f>
        <v>89</v>
      </c>
      <c r="F97" s="37" t="n">
        <f aca="false">SUM(F5:F96)</f>
        <v>48</v>
      </c>
      <c r="G97" s="37" t="n">
        <f aca="false">SUM(G5:G96)</f>
        <v>77</v>
      </c>
      <c r="H97" s="38" t="n">
        <f aca="false">IFERROR(D97/B97,0)</f>
        <v>0.821666666666667</v>
      </c>
      <c r="I97" s="38" t="n">
        <f aca="false">IFERROR(E97/B97,0)</f>
        <v>0.0741666666666667</v>
      </c>
      <c r="J97" s="37" t="n">
        <f aca="false">SUM(J5:J96)</f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8" min="6" style="0" width="11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34" t="s">
        <v>59</v>
      </c>
    </row>
    <row r="3" customFormat="false" ht="15" hidden="false" customHeight="false" outlineLevel="0" collapsed="false">
      <c r="A3" s="30" t="s">
        <v>60</v>
      </c>
      <c r="B3" s="30" t="s">
        <v>61</v>
      </c>
      <c r="C3" s="30" t="s">
        <v>62</v>
      </c>
      <c r="D3" s="30" t="s">
        <v>27</v>
      </c>
      <c r="E3" s="30" t="s">
        <v>28</v>
      </c>
      <c r="F3" s="30" t="s">
        <v>42</v>
      </c>
      <c r="G3" s="30" t="s">
        <v>43</v>
      </c>
      <c r="H3" s="30" t="s">
        <v>45</v>
      </c>
      <c r="I3" s="30" t="s">
        <v>47</v>
      </c>
      <c r="J3" s="30" t="s">
        <v>31</v>
      </c>
      <c r="K3" s="30" t="s">
        <v>29</v>
      </c>
    </row>
    <row r="4" customFormat="false" ht="15" hidden="false" customHeight="false" outlineLevel="0" collapsed="false">
      <c r="A4" s="31" t="s">
        <v>63</v>
      </c>
      <c r="B4" s="35" t="n">
        <v>46204</v>
      </c>
      <c r="C4" s="35" t="n">
        <f aca="false">B4+6</f>
        <v>46210</v>
      </c>
      <c r="D4" s="31" t="n">
        <f aca="false">COUNTIFS(Data!$B$2:$B$1201,"&gt;="&amp;$B4,Data!$B$2:$B$1201,"&lt;="&amp;$C4)</f>
        <v>82</v>
      </c>
      <c r="E4" s="32" t="n">
        <f aca="false">SUMIFS(Data!$H$2:$H$1201,Data!$B$2:$B$1201,"&gt;="&amp;$B4,Data!$B$2:$B$1201,"&lt;="&amp;$C4)</f>
        <v>66320</v>
      </c>
      <c r="F4" s="31" t="n">
        <f aca="false">COUNTIFS(Data!$B$2:$B$1201,"&gt;="&amp;$B4,Data!$B$2:$B$1201,"&lt;="&amp;$C4,Data!$J$2:$J$1201,"Delivered")</f>
        <v>70</v>
      </c>
      <c r="G4" s="31" t="n">
        <f aca="false">COUNTIFS(Data!$B$2:$B$1201,"&gt;="&amp;$B4,Data!$B$2:$B$1201,"&lt;="&amp;$C4,Data!$J$2:$J$1201,"Returned")</f>
        <v>4</v>
      </c>
      <c r="H4" s="31" t="n">
        <f aca="false">COUNTIFS(Data!$B$2:$B$1201,"&gt;="&amp;$B4,Data!$B$2:$B$1201,"&lt;="&amp;$C4,Data!$J$2:$J$1201,"Cancelled")</f>
        <v>1</v>
      </c>
      <c r="I4" s="31" t="n">
        <f aca="false">COUNTIFS(Data!$B$2:$B$1201,"&gt;="&amp;$B4,Data!$B$2:$B$1201,"&lt;="&amp;$C4,Data!$J$2:$J$1201,"RTO")</f>
        <v>7</v>
      </c>
      <c r="J4" s="33" t="n">
        <f aca="false">IFERROR(F4/D4,0)</f>
        <v>0.853658536585366</v>
      </c>
      <c r="K4" s="33" t="n">
        <f aca="false">IFERROR(G4/D4,0)</f>
        <v>0.0487804878048781</v>
      </c>
    </row>
    <row r="5" customFormat="false" ht="15" hidden="false" customHeight="false" outlineLevel="0" collapsed="false">
      <c r="A5" s="31" t="s">
        <v>64</v>
      </c>
      <c r="B5" s="35" t="n">
        <v>46211</v>
      </c>
      <c r="C5" s="35" t="n">
        <f aca="false">B5+6</f>
        <v>46217</v>
      </c>
      <c r="D5" s="31" t="n">
        <f aca="false">COUNTIFS(Data!$B$2:$B$1201,"&gt;="&amp;$B5,Data!$B$2:$B$1201,"&lt;="&amp;$C5)</f>
        <v>77</v>
      </c>
      <c r="E5" s="32" t="n">
        <f aca="false">SUMIFS(Data!$H$2:$H$1201,Data!$B$2:$B$1201,"&gt;="&amp;$B5,Data!$B$2:$B$1201,"&lt;="&amp;$C5)</f>
        <v>60666</v>
      </c>
      <c r="F5" s="31" t="n">
        <f aca="false">COUNTIFS(Data!$B$2:$B$1201,"&gt;="&amp;$B5,Data!$B$2:$B$1201,"&lt;="&amp;$C5,Data!$J$2:$J$1201,"Delivered")</f>
        <v>68</v>
      </c>
      <c r="G5" s="31" t="n">
        <f aca="false">COUNTIFS(Data!$B$2:$B$1201,"&gt;="&amp;$B5,Data!$B$2:$B$1201,"&lt;="&amp;$C5,Data!$J$2:$J$1201,"Returned")</f>
        <v>7</v>
      </c>
      <c r="H5" s="31" t="n">
        <f aca="false">COUNTIFS(Data!$B$2:$B$1201,"&gt;="&amp;$B5,Data!$B$2:$B$1201,"&lt;="&amp;$C5,Data!$J$2:$J$1201,"Cancelled")</f>
        <v>1</v>
      </c>
      <c r="I5" s="31" t="n">
        <f aca="false">COUNTIFS(Data!$B$2:$B$1201,"&gt;="&amp;$B5,Data!$B$2:$B$1201,"&lt;="&amp;$C5,Data!$J$2:$J$1201,"RTO")</f>
        <v>1</v>
      </c>
      <c r="J5" s="33" t="n">
        <f aca="false">IFERROR(F5/D5,0)</f>
        <v>0.883116883116883</v>
      </c>
      <c r="K5" s="33" t="n">
        <f aca="false">IFERROR(G5/D5,0)</f>
        <v>0.0909090909090909</v>
      </c>
    </row>
    <row r="6" customFormat="false" ht="15" hidden="false" customHeight="false" outlineLevel="0" collapsed="false">
      <c r="A6" s="31" t="s">
        <v>65</v>
      </c>
      <c r="B6" s="35" t="n">
        <v>46218</v>
      </c>
      <c r="C6" s="35" t="n">
        <f aca="false">B6+6</f>
        <v>46224</v>
      </c>
      <c r="D6" s="31" t="n">
        <f aca="false">COUNTIFS(Data!$B$2:$B$1201,"&gt;="&amp;$B6,Data!$B$2:$B$1201,"&lt;="&amp;$C6)</f>
        <v>88</v>
      </c>
      <c r="E6" s="32" t="n">
        <f aca="false">SUMIFS(Data!$H$2:$H$1201,Data!$B$2:$B$1201,"&gt;="&amp;$B6,Data!$B$2:$B$1201,"&lt;="&amp;$C6)</f>
        <v>72412</v>
      </c>
      <c r="F6" s="31" t="n">
        <f aca="false">COUNTIFS(Data!$B$2:$B$1201,"&gt;="&amp;$B6,Data!$B$2:$B$1201,"&lt;="&amp;$C6,Data!$J$2:$J$1201,"Delivered")</f>
        <v>68</v>
      </c>
      <c r="G6" s="31" t="n">
        <f aca="false">COUNTIFS(Data!$B$2:$B$1201,"&gt;="&amp;$B6,Data!$B$2:$B$1201,"&lt;="&amp;$C6,Data!$J$2:$J$1201,"Returned")</f>
        <v>8</v>
      </c>
      <c r="H6" s="31" t="n">
        <f aca="false">COUNTIFS(Data!$B$2:$B$1201,"&gt;="&amp;$B6,Data!$B$2:$B$1201,"&lt;="&amp;$C6,Data!$J$2:$J$1201,"Cancelled")</f>
        <v>4</v>
      </c>
      <c r="I6" s="31" t="n">
        <f aca="false">COUNTIFS(Data!$B$2:$B$1201,"&gt;="&amp;$B6,Data!$B$2:$B$1201,"&lt;="&amp;$C6,Data!$J$2:$J$1201,"RTO")</f>
        <v>8</v>
      </c>
      <c r="J6" s="33" t="n">
        <f aca="false">IFERROR(F6/D6,0)</f>
        <v>0.772727272727273</v>
      </c>
      <c r="K6" s="33" t="n">
        <f aca="false">IFERROR(G6/D6,0)</f>
        <v>0.0909090909090909</v>
      </c>
    </row>
    <row r="7" customFormat="false" ht="15" hidden="false" customHeight="false" outlineLevel="0" collapsed="false">
      <c r="A7" s="31" t="s">
        <v>66</v>
      </c>
      <c r="B7" s="35" t="n">
        <v>46225</v>
      </c>
      <c r="C7" s="35" t="n">
        <f aca="false">B7+6</f>
        <v>46231</v>
      </c>
      <c r="D7" s="31" t="n">
        <f aca="false">COUNTIFS(Data!$B$2:$B$1201,"&gt;="&amp;$B7,Data!$B$2:$B$1201,"&lt;="&amp;$C7)</f>
        <v>89</v>
      </c>
      <c r="E7" s="32" t="n">
        <f aca="false">SUMIFS(Data!$H$2:$H$1201,Data!$B$2:$B$1201,"&gt;="&amp;$B7,Data!$B$2:$B$1201,"&lt;="&amp;$C7)</f>
        <v>70366</v>
      </c>
      <c r="F7" s="31" t="n">
        <f aca="false">COUNTIFS(Data!$B$2:$B$1201,"&gt;="&amp;$B7,Data!$B$2:$B$1201,"&lt;="&amp;$C7,Data!$J$2:$J$1201,"Delivered")</f>
        <v>74</v>
      </c>
      <c r="G7" s="31" t="n">
        <f aca="false">COUNTIFS(Data!$B$2:$B$1201,"&gt;="&amp;$B7,Data!$B$2:$B$1201,"&lt;="&amp;$C7,Data!$J$2:$J$1201,"Returned")</f>
        <v>4</v>
      </c>
      <c r="H7" s="31" t="n">
        <f aca="false">COUNTIFS(Data!$B$2:$B$1201,"&gt;="&amp;$B7,Data!$B$2:$B$1201,"&lt;="&amp;$C7,Data!$J$2:$J$1201,"Cancelled")</f>
        <v>4</v>
      </c>
      <c r="I7" s="31" t="n">
        <f aca="false">COUNTIFS(Data!$B$2:$B$1201,"&gt;="&amp;$B7,Data!$B$2:$B$1201,"&lt;="&amp;$C7,Data!$J$2:$J$1201,"RTO")</f>
        <v>7</v>
      </c>
      <c r="J7" s="33" t="n">
        <f aca="false">IFERROR(F7/D7,0)</f>
        <v>0.831460674157303</v>
      </c>
      <c r="K7" s="33" t="n">
        <f aca="false">IFERROR(G7/D7,0)</f>
        <v>0.0449438202247191</v>
      </c>
    </row>
    <row r="8" customFormat="false" ht="15" hidden="false" customHeight="false" outlineLevel="0" collapsed="false">
      <c r="A8" s="31" t="s">
        <v>67</v>
      </c>
      <c r="B8" s="35" t="n">
        <v>46232</v>
      </c>
      <c r="C8" s="35" t="n">
        <f aca="false">B8+6</f>
        <v>46238</v>
      </c>
      <c r="D8" s="31" t="n">
        <f aca="false">COUNTIFS(Data!$B$2:$B$1201,"&gt;="&amp;$B8,Data!$B$2:$B$1201,"&lt;="&amp;$C8)</f>
        <v>84</v>
      </c>
      <c r="E8" s="32" t="n">
        <f aca="false">SUMIFS(Data!$H$2:$H$1201,Data!$B$2:$B$1201,"&gt;="&amp;$B8,Data!$B$2:$B$1201,"&lt;="&amp;$C8)</f>
        <v>69020</v>
      </c>
      <c r="F8" s="31" t="n">
        <f aca="false">COUNTIFS(Data!$B$2:$B$1201,"&gt;="&amp;$B8,Data!$B$2:$B$1201,"&lt;="&amp;$C8,Data!$J$2:$J$1201,"Delivered")</f>
        <v>71</v>
      </c>
      <c r="G8" s="31" t="n">
        <f aca="false">COUNTIFS(Data!$B$2:$B$1201,"&gt;="&amp;$B8,Data!$B$2:$B$1201,"&lt;="&amp;$C8,Data!$J$2:$J$1201,"Returned")</f>
        <v>8</v>
      </c>
      <c r="H8" s="31" t="n">
        <f aca="false">COUNTIFS(Data!$B$2:$B$1201,"&gt;="&amp;$B8,Data!$B$2:$B$1201,"&lt;="&amp;$C8,Data!$J$2:$J$1201,"Cancelled")</f>
        <v>3</v>
      </c>
      <c r="I8" s="31" t="n">
        <f aca="false">COUNTIFS(Data!$B$2:$B$1201,"&gt;="&amp;$B8,Data!$B$2:$B$1201,"&lt;="&amp;$C8,Data!$J$2:$J$1201,"RTO")</f>
        <v>2</v>
      </c>
      <c r="J8" s="33" t="n">
        <f aca="false">IFERROR(F8/D8,0)</f>
        <v>0.845238095238095</v>
      </c>
      <c r="K8" s="33" t="n">
        <f aca="false">IFERROR(G8/D8,0)</f>
        <v>0.0952380952380952</v>
      </c>
    </row>
    <row r="9" customFormat="false" ht="15" hidden="false" customHeight="false" outlineLevel="0" collapsed="false">
      <c r="A9" s="31" t="s">
        <v>68</v>
      </c>
      <c r="B9" s="35" t="n">
        <v>46239</v>
      </c>
      <c r="C9" s="35" t="n">
        <f aca="false">B9+6</f>
        <v>46245</v>
      </c>
      <c r="D9" s="31" t="n">
        <f aca="false">COUNTIFS(Data!$B$2:$B$1201,"&gt;="&amp;$B9,Data!$B$2:$B$1201,"&lt;="&amp;$C9)</f>
        <v>94</v>
      </c>
      <c r="E9" s="32" t="n">
        <f aca="false">SUMIFS(Data!$H$2:$H$1201,Data!$B$2:$B$1201,"&gt;="&amp;$B9,Data!$B$2:$B$1201,"&lt;="&amp;$C9)</f>
        <v>75728</v>
      </c>
      <c r="F9" s="31" t="n">
        <f aca="false">COUNTIFS(Data!$B$2:$B$1201,"&gt;="&amp;$B9,Data!$B$2:$B$1201,"&lt;="&amp;$C9,Data!$J$2:$J$1201,"Delivered")</f>
        <v>74</v>
      </c>
      <c r="G9" s="31" t="n">
        <f aca="false">COUNTIFS(Data!$B$2:$B$1201,"&gt;="&amp;$B9,Data!$B$2:$B$1201,"&lt;="&amp;$C9,Data!$J$2:$J$1201,"Returned")</f>
        <v>9</v>
      </c>
      <c r="H9" s="31" t="n">
        <f aca="false">COUNTIFS(Data!$B$2:$B$1201,"&gt;="&amp;$B9,Data!$B$2:$B$1201,"&lt;="&amp;$C9,Data!$J$2:$J$1201,"Cancelled")</f>
        <v>4</v>
      </c>
      <c r="I9" s="31" t="n">
        <f aca="false">COUNTIFS(Data!$B$2:$B$1201,"&gt;="&amp;$B9,Data!$B$2:$B$1201,"&lt;="&amp;$C9,Data!$J$2:$J$1201,"RTO")</f>
        <v>7</v>
      </c>
      <c r="J9" s="33" t="n">
        <f aca="false">IFERROR(F9/D9,0)</f>
        <v>0.787234042553192</v>
      </c>
      <c r="K9" s="33" t="n">
        <f aca="false">IFERROR(G9/D9,0)</f>
        <v>0.0957446808510638</v>
      </c>
    </row>
    <row r="10" customFormat="false" ht="15" hidden="false" customHeight="false" outlineLevel="0" collapsed="false">
      <c r="A10" s="31" t="s">
        <v>69</v>
      </c>
      <c r="B10" s="35" t="n">
        <v>46246</v>
      </c>
      <c r="C10" s="35" t="n">
        <f aca="false">B10+6</f>
        <v>46252</v>
      </c>
      <c r="D10" s="31" t="n">
        <f aca="false">COUNTIFS(Data!$B$2:$B$1201,"&gt;="&amp;$B10,Data!$B$2:$B$1201,"&lt;="&amp;$C10)</f>
        <v>91</v>
      </c>
      <c r="E10" s="32" t="n">
        <f aca="false">SUMIFS(Data!$H$2:$H$1201,Data!$B$2:$B$1201,"&gt;="&amp;$B10,Data!$B$2:$B$1201,"&lt;="&amp;$C10)</f>
        <v>77860</v>
      </c>
      <c r="F10" s="31" t="n">
        <f aca="false">COUNTIFS(Data!$B$2:$B$1201,"&gt;="&amp;$B10,Data!$B$2:$B$1201,"&lt;="&amp;$C10,Data!$J$2:$J$1201,"Delivered")</f>
        <v>71</v>
      </c>
      <c r="G10" s="31" t="n">
        <f aca="false">COUNTIFS(Data!$B$2:$B$1201,"&gt;="&amp;$B10,Data!$B$2:$B$1201,"&lt;="&amp;$C10,Data!$J$2:$J$1201,"Returned")</f>
        <v>10</v>
      </c>
      <c r="H10" s="31" t="n">
        <f aca="false">COUNTIFS(Data!$B$2:$B$1201,"&gt;="&amp;$B10,Data!$B$2:$B$1201,"&lt;="&amp;$C10,Data!$J$2:$J$1201,"Cancelled")</f>
        <v>3</v>
      </c>
      <c r="I10" s="31" t="n">
        <f aca="false">COUNTIFS(Data!$B$2:$B$1201,"&gt;="&amp;$B10,Data!$B$2:$B$1201,"&lt;="&amp;$C10,Data!$J$2:$J$1201,"RTO")</f>
        <v>7</v>
      </c>
      <c r="J10" s="33" t="n">
        <f aca="false">IFERROR(F10/D10,0)</f>
        <v>0.78021978021978</v>
      </c>
      <c r="K10" s="33" t="n">
        <f aca="false">IFERROR(G10/D10,0)</f>
        <v>0.10989010989011</v>
      </c>
    </row>
    <row r="11" customFormat="false" ht="15" hidden="false" customHeight="false" outlineLevel="0" collapsed="false">
      <c r="A11" s="31" t="s">
        <v>70</v>
      </c>
      <c r="B11" s="35" t="n">
        <v>46253</v>
      </c>
      <c r="C11" s="35" t="n">
        <f aca="false">B11+6</f>
        <v>46259</v>
      </c>
      <c r="D11" s="31" t="n">
        <f aca="false">COUNTIFS(Data!$B$2:$B$1201,"&gt;="&amp;$B11,Data!$B$2:$B$1201,"&lt;="&amp;$C11)</f>
        <v>91</v>
      </c>
      <c r="E11" s="32" t="n">
        <f aca="false">SUMIFS(Data!$H$2:$H$1201,Data!$B$2:$B$1201,"&gt;="&amp;$B11,Data!$B$2:$B$1201,"&lt;="&amp;$C11)</f>
        <v>71172</v>
      </c>
      <c r="F11" s="31" t="n">
        <f aca="false">COUNTIFS(Data!$B$2:$B$1201,"&gt;="&amp;$B11,Data!$B$2:$B$1201,"&lt;="&amp;$C11,Data!$J$2:$J$1201,"Delivered")</f>
        <v>80</v>
      </c>
      <c r="G11" s="31" t="n">
        <f aca="false">COUNTIFS(Data!$B$2:$B$1201,"&gt;="&amp;$B11,Data!$B$2:$B$1201,"&lt;="&amp;$C11,Data!$J$2:$J$1201,"Returned")</f>
        <v>3</v>
      </c>
      <c r="H11" s="31" t="n">
        <f aca="false">COUNTIFS(Data!$B$2:$B$1201,"&gt;="&amp;$B11,Data!$B$2:$B$1201,"&lt;="&amp;$C11,Data!$J$2:$J$1201,"Cancelled")</f>
        <v>3</v>
      </c>
      <c r="I11" s="31" t="n">
        <f aca="false">COUNTIFS(Data!$B$2:$B$1201,"&gt;="&amp;$B11,Data!$B$2:$B$1201,"&lt;="&amp;$C11,Data!$J$2:$J$1201,"RTO")</f>
        <v>5</v>
      </c>
      <c r="J11" s="33" t="n">
        <f aca="false">IFERROR(F11/D11,0)</f>
        <v>0.879120879120879</v>
      </c>
      <c r="K11" s="33" t="n">
        <f aca="false">IFERROR(G11/D11,0)</f>
        <v>0.032967032967033</v>
      </c>
    </row>
    <row r="12" customFormat="false" ht="15" hidden="false" customHeight="false" outlineLevel="0" collapsed="false">
      <c r="A12" s="31" t="s">
        <v>71</v>
      </c>
      <c r="B12" s="35" t="n">
        <v>46260</v>
      </c>
      <c r="C12" s="35" t="n">
        <f aca="false">B12+6</f>
        <v>46266</v>
      </c>
      <c r="D12" s="31" t="n">
        <f aca="false">COUNTIFS(Data!$B$2:$B$1201,"&gt;="&amp;$B12,Data!$B$2:$B$1201,"&lt;="&amp;$C12)</f>
        <v>103</v>
      </c>
      <c r="E12" s="32" t="n">
        <f aca="false">SUMIFS(Data!$H$2:$H$1201,Data!$B$2:$B$1201,"&gt;="&amp;$B12,Data!$B$2:$B$1201,"&lt;="&amp;$C12)</f>
        <v>85432</v>
      </c>
      <c r="F12" s="31" t="n">
        <f aca="false">COUNTIFS(Data!$B$2:$B$1201,"&gt;="&amp;$B12,Data!$B$2:$B$1201,"&lt;="&amp;$C12,Data!$J$2:$J$1201,"Delivered")</f>
        <v>86</v>
      </c>
      <c r="G12" s="31" t="n">
        <f aca="false">COUNTIFS(Data!$B$2:$B$1201,"&gt;="&amp;$B12,Data!$B$2:$B$1201,"&lt;="&amp;$C12,Data!$J$2:$J$1201,"Returned")</f>
        <v>2</v>
      </c>
      <c r="H12" s="31" t="n">
        <f aca="false">COUNTIFS(Data!$B$2:$B$1201,"&gt;="&amp;$B12,Data!$B$2:$B$1201,"&lt;="&amp;$C12,Data!$J$2:$J$1201,"Cancelled")</f>
        <v>5</v>
      </c>
      <c r="I12" s="31" t="n">
        <f aca="false">COUNTIFS(Data!$B$2:$B$1201,"&gt;="&amp;$B12,Data!$B$2:$B$1201,"&lt;="&amp;$C12,Data!$J$2:$J$1201,"RTO")</f>
        <v>10</v>
      </c>
      <c r="J12" s="33" t="n">
        <f aca="false">IFERROR(F12/D12,0)</f>
        <v>0.83495145631068</v>
      </c>
      <c r="K12" s="33" t="n">
        <f aca="false">IFERROR(G12/D12,0)</f>
        <v>0.0194174757281553</v>
      </c>
    </row>
    <row r="13" customFormat="false" ht="15" hidden="false" customHeight="false" outlineLevel="0" collapsed="false">
      <c r="A13" s="31" t="s">
        <v>72</v>
      </c>
      <c r="B13" s="35" t="n">
        <v>46267</v>
      </c>
      <c r="C13" s="35" t="n">
        <f aca="false">B13+6</f>
        <v>46273</v>
      </c>
      <c r="D13" s="31" t="n">
        <f aca="false">COUNTIFS(Data!$B$2:$B$1201,"&gt;="&amp;$B13,Data!$B$2:$B$1201,"&lt;="&amp;$C13)</f>
        <v>91</v>
      </c>
      <c r="E13" s="32" t="n">
        <f aca="false">SUMIFS(Data!$H$2:$H$1201,Data!$B$2:$B$1201,"&gt;="&amp;$B13,Data!$B$2:$B$1201,"&lt;="&amp;$C13)</f>
        <v>77542</v>
      </c>
      <c r="F13" s="31" t="n">
        <f aca="false">COUNTIFS(Data!$B$2:$B$1201,"&gt;="&amp;$B13,Data!$B$2:$B$1201,"&lt;="&amp;$C13,Data!$J$2:$J$1201,"Delivered")</f>
        <v>74</v>
      </c>
      <c r="G13" s="31" t="n">
        <f aca="false">COUNTIFS(Data!$B$2:$B$1201,"&gt;="&amp;$B13,Data!$B$2:$B$1201,"&lt;="&amp;$C13,Data!$J$2:$J$1201,"Returned")</f>
        <v>5</v>
      </c>
      <c r="H13" s="31" t="n">
        <f aca="false">COUNTIFS(Data!$B$2:$B$1201,"&gt;="&amp;$B13,Data!$B$2:$B$1201,"&lt;="&amp;$C13,Data!$J$2:$J$1201,"Cancelled")</f>
        <v>4</v>
      </c>
      <c r="I13" s="31" t="n">
        <f aca="false">COUNTIFS(Data!$B$2:$B$1201,"&gt;="&amp;$B13,Data!$B$2:$B$1201,"&lt;="&amp;$C13,Data!$J$2:$J$1201,"RTO")</f>
        <v>8</v>
      </c>
      <c r="J13" s="33" t="n">
        <f aca="false">IFERROR(F13/D13,0)</f>
        <v>0.813186813186813</v>
      </c>
      <c r="K13" s="33" t="n">
        <f aca="false">IFERROR(G13/D13,0)</f>
        <v>0.0549450549450549</v>
      </c>
    </row>
    <row r="14" customFormat="false" ht="15" hidden="false" customHeight="false" outlineLevel="0" collapsed="false">
      <c r="A14" s="31" t="s">
        <v>73</v>
      </c>
      <c r="B14" s="35" t="n">
        <v>46274</v>
      </c>
      <c r="C14" s="35" t="n">
        <f aca="false">B14+6</f>
        <v>46280</v>
      </c>
      <c r="D14" s="31" t="n">
        <f aca="false">COUNTIFS(Data!$B$2:$B$1201,"&gt;="&amp;$B14,Data!$B$2:$B$1201,"&lt;="&amp;$C14)</f>
        <v>95</v>
      </c>
      <c r="E14" s="32" t="n">
        <f aca="false">SUMIFS(Data!$H$2:$H$1201,Data!$B$2:$B$1201,"&gt;="&amp;$B14,Data!$B$2:$B$1201,"&lt;="&amp;$C14)</f>
        <v>76028</v>
      </c>
      <c r="F14" s="31" t="n">
        <f aca="false">COUNTIFS(Data!$B$2:$B$1201,"&gt;="&amp;$B14,Data!$B$2:$B$1201,"&lt;="&amp;$C14,Data!$J$2:$J$1201,"Delivered")</f>
        <v>80</v>
      </c>
      <c r="G14" s="31" t="n">
        <f aca="false">COUNTIFS(Data!$B$2:$B$1201,"&gt;="&amp;$B14,Data!$B$2:$B$1201,"&lt;="&amp;$C14,Data!$J$2:$J$1201,"Returned")</f>
        <v>5</v>
      </c>
      <c r="H14" s="31" t="n">
        <f aca="false">COUNTIFS(Data!$B$2:$B$1201,"&gt;="&amp;$B14,Data!$B$2:$B$1201,"&lt;="&amp;$C14,Data!$J$2:$J$1201,"Cancelled")</f>
        <v>2</v>
      </c>
      <c r="I14" s="31" t="n">
        <f aca="false">COUNTIFS(Data!$B$2:$B$1201,"&gt;="&amp;$B14,Data!$B$2:$B$1201,"&lt;="&amp;$C14,Data!$J$2:$J$1201,"RTO")</f>
        <v>8</v>
      </c>
      <c r="J14" s="33" t="n">
        <f aca="false">IFERROR(F14/D14,0)</f>
        <v>0.842105263157895</v>
      </c>
      <c r="K14" s="33" t="n">
        <f aca="false">IFERROR(G14/D14,0)</f>
        <v>0.0526315789473684</v>
      </c>
    </row>
    <row r="15" customFormat="false" ht="15" hidden="false" customHeight="false" outlineLevel="0" collapsed="false">
      <c r="A15" s="31" t="s">
        <v>74</v>
      </c>
      <c r="B15" s="35" t="n">
        <v>46281</v>
      </c>
      <c r="C15" s="35" t="n">
        <f aca="false">B15+6</f>
        <v>46287</v>
      </c>
      <c r="D15" s="31" t="n">
        <f aca="false">COUNTIFS(Data!$B$2:$B$1201,"&gt;="&amp;$B15,Data!$B$2:$B$1201,"&lt;="&amp;$C15)</f>
        <v>96</v>
      </c>
      <c r="E15" s="32" t="n">
        <f aca="false">SUMIFS(Data!$H$2:$H$1201,Data!$B$2:$B$1201,"&gt;="&amp;$B15,Data!$B$2:$B$1201,"&lt;="&amp;$C15)</f>
        <v>77148</v>
      </c>
      <c r="F15" s="31" t="n">
        <f aca="false">COUNTIFS(Data!$B$2:$B$1201,"&gt;="&amp;$B15,Data!$B$2:$B$1201,"&lt;="&amp;$C15,Data!$J$2:$J$1201,"Delivered")</f>
        <v>71</v>
      </c>
      <c r="G15" s="31" t="n">
        <f aca="false">COUNTIFS(Data!$B$2:$B$1201,"&gt;="&amp;$B15,Data!$B$2:$B$1201,"&lt;="&amp;$C15,Data!$J$2:$J$1201,"Returned")</f>
        <v>15</v>
      </c>
      <c r="H15" s="31" t="n">
        <f aca="false">COUNTIFS(Data!$B$2:$B$1201,"&gt;="&amp;$B15,Data!$B$2:$B$1201,"&lt;="&amp;$C15,Data!$J$2:$J$1201,"Cancelled")</f>
        <v>4</v>
      </c>
      <c r="I15" s="31" t="n">
        <f aca="false">COUNTIFS(Data!$B$2:$B$1201,"&gt;="&amp;$B15,Data!$B$2:$B$1201,"&lt;="&amp;$C15,Data!$J$2:$J$1201,"RTO")</f>
        <v>6</v>
      </c>
      <c r="J15" s="33" t="n">
        <f aca="false">IFERROR(F15/D15,0)</f>
        <v>0.739583333333333</v>
      </c>
      <c r="K15" s="33" t="n">
        <f aca="false">IFERROR(G15/D15,0)</f>
        <v>0.15625</v>
      </c>
    </row>
    <row r="16" customFormat="false" ht="15" hidden="false" customHeight="false" outlineLevel="0" collapsed="false">
      <c r="A16" s="31" t="s">
        <v>75</v>
      </c>
      <c r="B16" s="35" t="n">
        <v>46288</v>
      </c>
      <c r="C16" s="35" t="n">
        <f aca="false">B16+6</f>
        <v>46294</v>
      </c>
      <c r="D16" s="31" t="n">
        <f aca="false">COUNTIFS(Data!$B$2:$B$1201,"&gt;="&amp;$B16,Data!$B$2:$B$1201,"&lt;="&amp;$C16)</f>
        <v>110</v>
      </c>
      <c r="E16" s="32" t="n">
        <f aca="false">SUMIFS(Data!$H$2:$H$1201,Data!$B$2:$B$1201,"&gt;="&amp;$B16,Data!$B$2:$B$1201,"&lt;="&amp;$C16)</f>
        <v>96594</v>
      </c>
      <c r="F16" s="31" t="n">
        <f aca="false">COUNTIFS(Data!$B$2:$B$1201,"&gt;="&amp;$B16,Data!$B$2:$B$1201,"&lt;="&amp;$C16,Data!$J$2:$J$1201,"Delivered")</f>
        <v>92</v>
      </c>
      <c r="G16" s="31" t="n">
        <f aca="false">COUNTIFS(Data!$B$2:$B$1201,"&gt;="&amp;$B16,Data!$B$2:$B$1201,"&lt;="&amp;$C16,Data!$J$2:$J$1201,"Returned")</f>
        <v>8</v>
      </c>
      <c r="H16" s="31" t="n">
        <f aca="false">COUNTIFS(Data!$B$2:$B$1201,"&gt;="&amp;$B16,Data!$B$2:$B$1201,"&lt;="&amp;$C16,Data!$J$2:$J$1201,"Cancelled")</f>
        <v>9</v>
      </c>
      <c r="I16" s="31" t="n">
        <f aca="false">COUNTIFS(Data!$B$2:$B$1201,"&gt;="&amp;$B16,Data!$B$2:$B$1201,"&lt;="&amp;$C16,Data!$J$2:$J$1201,"RTO")</f>
        <v>1</v>
      </c>
      <c r="J16" s="33" t="n">
        <f aca="false">IFERROR(F16/D16,0)</f>
        <v>0.836363636363636</v>
      </c>
      <c r="K16" s="33" t="n">
        <f aca="false">IFERROR(G16/D16,0)</f>
        <v>0.0727272727272727</v>
      </c>
    </row>
    <row r="17" customFormat="false" ht="15" hidden="false" customHeight="false" outlineLevel="0" collapsed="false">
      <c r="A17" s="31" t="s">
        <v>76</v>
      </c>
      <c r="B17" s="35" t="n">
        <v>46295</v>
      </c>
      <c r="C17" s="35" t="n">
        <f aca="false">B17+6</f>
        <v>46301</v>
      </c>
      <c r="D17" s="31" t="n">
        <f aca="false">COUNTIFS(Data!$B$2:$B$1201,"&gt;="&amp;$B17,Data!$B$2:$B$1201,"&lt;="&amp;$C17)</f>
        <v>9</v>
      </c>
      <c r="E17" s="32" t="n">
        <f aca="false">SUMIFS(Data!$H$2:$H$1201,Data!$B$2:$B$1201,"&gt;="&amp;$B17,Data!$B$2:$B$1201,"&lt;="&amp;$C17)</f>
        <v>6428</v>
      </c>
      <c r="F17" s="31" t="n">
        <f aca="false">COUNTIFS(Data!$B$2:$B$1201,"&gt;="&amp;$B17,Data!$B$2:$B$1201,"&lt;="&amp;$C17,Data!$J$2:$J$1201,"Delivered")</f>
        <v>7</v>
      </c>
      <c r="G17" s="31" t="n">
        <f aca="false">COUNTIFS(Data!$B$2:$B$1201,"&gt;="&amp;$B17,Data!$B$2:$B$1201,"&lt;="&amp;$C17,Data!$J$2:$J$1201,"Returned")</f>
        <v>1</v>
      </c>
      <c r="H17" s="31" t="n">
        <f aca="false">COUNTIFS(Data!$B$2:$B$1201,"&gt;="&amp;$B17,Data!$B$2:$B$1201,"&lt;="&amp;$C17,Data!$J$2:$J$1201,"Cancelled")</f>
        <v>1</v>
      </c>
      <c r="I17" s="31" t="n">
        <f aca="false">COUNTIFS(Data!$B$2:$B$1201,"&gt;="&amp;$B17,Data!$B$2:$B$1201,"&lt;="&amp;$C17,Data!$J$2:$J$1201,"RTO")</f>
        <v>0</v>
      </c>
      <c r="J17" s="33" t="n">
        <f aca="false">IFERROR(F17/D17,0)</f>
        <v>0.777777777777778</v>
      </c>
      <c r="K17" s="33" t="n">
        <f aca="false">IFERROR(G17/D17,0)</f>
        <v>0.111111111111111</v>
      </c>
    </row>
    <row r="19" customFormat="false" ht="15" hidden="false" customHeight="false" outlineLevel="0" collapsed="false">
      <c r="A19" s="2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9" min="7" style="0" width="1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34" t="s">
        <v>78</v>
      </c>
    </row>
    <row r="3" customFormat="false" ht="23.85" hidden="false" customHeight="false" outlineLevel="0" collapsed="false">
      <c r="A3" s="30" t="s">
        <v>79</v>
      </c>
      <c r="B3" s="30" t="s">
        <v>80</v>
      </c>
      <c r="C3" s="30" t="s">
        <v>81</v>
      </c>
      <c r="D3" s="30" t="s">
        <v>27</v>
      </c>
      <c r="E3" s="30" t="s">
        <v>28</v>
      </c>
      <c r="F3" s="30" t="s">
        <v>17</v>
      </c>
      <c r="G3" s="30" t="s">
        <v>42</v>
      </c>
      <c r="H3" s="30" t="s">
        <v>43</v>
      </c>
      <c r="I3" s="30" t="s">
        <v>45</v>
      </c>
      <c r="J3" s="30" t="s">
        <v>47</v>
      </c>
      <c r="K3" s="30" t="s">
        <v>31</v>
      </c>
      <c r="L3" s="30" t="s">
        <v>29</v>
      </c>
      <c r="M3" s="30" t="s">
        <v>82</v>
      </c>
    </row>
    <row r="4" customFormat="false" ht="15" hidden="false" customHeight="false" outlineLevel="0" collapsed="false">
      <c r="A4" s="31" t="s">
        <v>83</v>
      </c>
      <c r="B4" s="35" t="n">
        <v>46204</v>
      </c>
      <c r="C4" s="35" t="n">
        <f aca="false">EOMONTH(B4,0)</f>
        <v>46234</v>
      </c>
      <c r="D4" s="31" t="n">
        <f aca="false">COUNTIFS(Data!$B$2:$B$1201,"&gt;="&amp;$B4,Data!$B$2:$B$1201,"&lt;="&amp;$C4)</f>
        <v>363</v>
      </c>
      <c r="E4" s="32" t="n">
        <f aca="false">SUMIFS(Data!$H$2:$H$1201,Data!$B$2:$B$1201,"&gt;="&amp;$B4,Data!$B$2:$B$1201,"&lt;="&amp;$C4)</f>
        <v>292522</v>
      </c>
      <c r="F4" s="32" t="n">
        <f aca="false">IFERROR(E4/D4,0)</f>
        <v>805.845730027548</v>
      </c>
      <c r="G4" s="31" t="n">
        <f aca="false">COUNTIFS(Data!$B$2:$B$1201,"&gt;="&amp;$B4,Data!$B$2:$B$1201,"&lt;="&amp;$C4,Data!$J$2:$J$1201,"Delivered")</f>
        <v>300</v>
      </c>
      <c r="H4" s="31" t="n">
        <f aca="false">COUNTIFS(Data!$B$2:$B$1201,"&gt;="&amp;$B4,Data!$B$2:$B$1201,"&lt;="&amp;$C4,Data!$J$2:$J$1201,"Returned")</f>
        <v>27</v>
      </c>
      <c r="I4" s="31" t="n">
        <f aca="false">COUNTIFS(Data!$B$2:$B$1201,"&gt;="&amp;$B4,Data!$B$2:$B$1201,"&lt;="&amp;$C4,Data!$J$2:$J$1201,"Cancelled")</f>
        <v>11</v>
      </c>
      <c r="J4" s="31" t="n">
        <f aca="false">COUNTIFS(Data!$B$2:$B$1201,"&gt;="&amp;$B4,Data!$B$2:$B$1201,"&lt;="&amp;$C4,Data!$J$2:$J$1201,"RTO")</f>
        <v>25</v>
      </c>
      <c r="K4" s="33" t="n">
        <f aca="false">IFERROR(G4/D4,0)</f>
        <v>0.826446280991736</v>
      </c>
      <c r="L4" s="33" t="n">
        <f aca="false">IFERROR(H4/D4,0)</f>
        <v>0.0743801652892562</v>
      </c>
      <c r="M4" s="33" t="n">
        <f aca="false">IFERROR(COUNTIFS(Data!$B$2:$B$1201,"&gt;="&amp;$B4,Data!$B$2:$B$1201,"&lt;="&amp;$C4,Data!$I$2:$I$1201,"COD")/D4,0)</f>
        <v>0.371900826446281</v>
      </c>
    </row>
    <row r="5" customFormat="false" ht="15" hidden="false" customHeight="false" outlineLevel="0" collapsed="false">
      <c r="A5" s="31" t="s">
        <v>84</v>
      </c>
      <c r="B5" s="35" t="n">
        <v>46235</v>
      </c>
      <c r="C5" s="35" t="n">
        <f aca="false">EOMONTH(B5,0)</f>
        <v>46265</v>
      </c>
      <c r="D5" s="31" t="n">
        <f aca="false">COUNTIFS(Data!$B$2:$B$1201,"&gt;="&amp;$B5,Data!$B$2:$B$1201,"&lt;="&amp;$C5)</f>
        <v>421</v>
      </c>
      <c r="E5" s="32" t="n">
        <f aca="false">SUMIFS(Data!$H$2:$H$1201,Data!$B$2:$B$1201,"&gt;="&amp;$B5,Data!$B$2:$B$1201,"&lt;="&amp;$C5)</f>
        <v>342860</v>
      </c>
      <c r="F5" s="32" t="n">
        <f aca="false">IFERROR(E5/D5,0)</f>
        <v>814.394299287411</v>
      </c>
      <c r="G5" s="31" t="n">
        <f aca="false">COUNTIFS(Data!$B$2:$B$1201,"&gt;="&amp;$B5,Data!$B$2:$B$1201,"&lt;="&amp;$C5,Data!$J$2:$J$1201,"Delivered")</f>
        <v>351</v>
      </c>
      <c r="H5" s="31" t="n">
        <f aca="false">COUNTIFS(Data!$B$2:$B$1201,"&gt;="&amp;$B5,Data!$B$2:$B$1201,"&lt;="&amp;$C5,Data!$J$2:$J$1201,"Returned")</f>
        <v>28</v>
      </c>
      <c r="I5" s="31" t="n">
        <f aca="false">COUNTIFS(Data!$B$2:$B$1201,"&gt;="&amp;$B5,Data!$B$2:$B$1201,"&lt;="&amp;$C5,Data!$J$2:$J$1201,"Cancelled")</f>
        <v>16</v>
      </c>
      <c r="J5" s="31" t="n">
        <f aca="false">COUNTIFS(Data!$B$2:$B$1201,"&gt;="&amp;$B5,Data!$B$2:$B$1201,"&lt;="&amp;$C5,Data!$J$2:$J$1201,"RTO")</f>
        <v>26</v>
      </c>
      <c r="K5" s="33" t="n">
        <f aca="false">IFERROR(G5/D5,0)</f>
        <v>0.833729216152019</v>
      </c>
      <c r="L5" s="33" t="n">
        <f aca="false">IFERROR(H5/D5,0)</f>
        <v>0.0665083135391924</v>
      </c>
      <c r="M5" s="33" t="n">
        <f aca="false">IFERROR(COUNTIFS(Data!$B$2:$B$1201,"&gt;="&amp;$B5,Data!$B$2:$B$1201,"&lt;="&amp;$C5,Data!$I$2:$I$1201,"COD")/D5,0)</f>
        <v>0.375296912114014</v>
      </c>
    </row>
    <row r="6" customFormat="false" ht="15" hidden="false" customHeight="false" outlineLevel="0" collapsed="false">
      <c r="A6" s="31" t="s">
        <v>85</v>
      </c>
      <c r="B6" s="35" t="n">
        <v>46266</v>
      </c>
      <c r="C6" s="35" t="n">
        <f aca="false">EOMONTH(B6,0)</f>
        <v>46295</v>
      </c>
      <c r="D6" s="31" t="n">
        <f aca="false">COUNTIFS(Data!$B$2:$B$1201,"&gt;="&amp;$B6,Data!$B$2:$B$1201,"&lt;="&amp;$C6)</f>
        <v>416</v>
      </c>
      <c r="E6" s="32" t="n">
        <f aca="false">SUMIFS(Data!$H$2:$H$1201,Data!$B$2:$B$1201,"&gt;="&amp;$B6,Data!$B$2:$B$1201,"&lt;="&amp;$C6)</f>
        <v>347334</v>
      </c>
      <c r="F6" s="32" t="n">
        <f aca="false">IFERROR(E6/D6,0)</f>
        <v>834.9375</v>
      </c>
      <c r="G6" s="31" t="n">
        <f aca="false">COUNTIFS(Data!$B$2:$B$1201,"&gt;="&amp;$B6,Data!$B$2:$B$1201,"&lt;="&amp;$C6,Data!$J$2:$J$1201,"Delivered")</f>
        <v>335</v>
      </c>
      <c r="H6" s="31" t="n">
        <f aca="false">COUNTIFS(Data!$B$2:$B$1201,"&gt;="&amp;$B6,Data!$B$2:$B$1201,"&lt;="&amp;$C6,Data!$J$2:$J$1201,"Returned")</f>
        <v>34</v>
      </c>
      <c r="I6" s="31" t="n">
        <f aca="false">COUNTIFS(Data!$B$2:$B$1201,"&gt;="&amp;$B6,Data!$B$2:$B$1201,"&lt;="&amp;$C6,Data!$J$2:$J$1201,"Cancelled")</f>
        <v>21</v>
      </c>
      <c r="J6" s="31" t="n">
        <f aca="false">COUNTIFS(Data!$B$2:$B$1201,"&gt;="&amp;$B6,Data!$B$2:$B$1201,"&lt;="&amp;$C6,Data!$J$2:$J$1201,"RTO")</f>
        <v>26</v>
      </c>
      <c r="K6" s="33" t="n">
        <f aca="false">IFERROR(G6/D6,0)</f>
        <v>0.805288461538462</v>
      </c>
      <c r="L6" s="33" t="n">
        <f aca="false">IFERROR(H6/D6,0)</f>
        <v>0.0817307692307692</v>
      </c>
      <c r="M6" s="33" t="n">
        <f aca="false">IFERROR(COUNTIFS(Data!$B$2:$B$1201,"&gt;="&amp;$B6,Data!$B$2:$B$1201,"&lt;="&amp;$C6,Data!$I$2:$I$1201,"COD")/D6,0)</f>
        <v>0.408653846153846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3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30" t="s">
        <v>86</v>
      </c>
      <c r="B1" s="30" t="s">
        <v>87</v>
      </c>
      <c r="C1" s="30" t="s">
        <v>46</v>
      </c>
      <c r="D1" s="30" t="s">
        <v>26</v>
      </c>
      <c r="E1" s="30" t="s">
        <v>88</v>
      </c>
      <c r="F1" s="30" t="s">
        <v>89</v>
      </c>
      <c r="G1" s="30" t="s">
        <v>90</v>
      </c>
      <c r="H1" s="30" t="s">
        <v>91</v>
      </c>
      <c r="I1" s="30" t="s">
        <v>30</v>
      </c>
      <c r="J1" s="30" t="s">
        <v>92</v>
      </c>
      <c r="K1" s="30" t="s">
        <v>93</v>
      </c>
    </row>
    <row r="2" customFormat="false" ht="15" hidden="false" customHeight="false" outlineLevel="0" collapsed="false">
      <c r="A2" s="39" t="s">
        <v>94</v>
      </c>
      <c r="B2" s="40" t="n">
        <v>46204</v>
      </c>
      <c r="C2" s="39" t="s">
        <v>53</v>
      </c>
      <c r="D2" s="39" t="s">
        <v>35</v>
      </c>
      <c r="E2" s="39" t="s">
        <v>95</v>
      </c>
      <c r="F2" s="39" t="n">
        <v>1</v>
      </c>
      <c r="G2" s="41" t="n">
        <v>568</v>
      </c>
      <c r="H2" s="42" t="n">
        <f aca="false">F2*G2</f>
        <v>568</v>
      </c>
      <c r="I2" s="39" t="s">
        <v>34</v>
      </c>
      <c r="J2" s="39" t="s">
        <v>42</v>
      </c>
      <c r="K2" s="39" t="n">
        <v>4</v>
      </c>
    </row>
    <row r="3" customFormat="false" ht="15" hidden="false" customHeight="false" outlineLevel="0" collapsed="false">
      <c r="A3" s="39" t="s">
        <v>96</v>
      </c>
      <c r="B3" s="40" t="n">
        <v>46204</v>
      </c>
      <c r="C3" s="39" t="s">
        <v>53</v>
      </c>
      <c r="D3" s="39" t="s">
        <v>37</v>
      </c>
      <c r="E3" s="39" t="s">
        <v>97</v>
      </c>
      <c r="F3" s="39" t="n">
        <v>1</v>
      </c>
      <c r="G3" s="41" t="n">
        <v>308</v>
      </c>
      <c r="H3" s="42" t="n">
        <f aca="false">F3*G3</f>
        <v>308</v>
      </c>
      <c r="I3" s="39" t="s">
        <v>34</v>
      </c>
      <c r="J3" s="39" t="s">
        <v>42</v>
      </c>
      <c r="K3" s="39" t="n">
        <v>5</v>
      </c>
    </row>
    <row r="4" customFormat="false" ht="15" hidden="false" customHeight="false" outlineLevel="0" collapsed="false">
      <c r="A4" s="39" t="s">
        <v>98</v>
      </c>
      <c r="B4" s="40" t="n">
        <v>46204</v>
      </c>
      <c r="C4" s="39" t="s">
        <v>51</v>
      </c>
      <c r="D4" s="39" t="s">
        <v>39</v>
      </c>
      <c r="E4" s="39" t="s">
        <v>99</v>
      </c>
      <c r="F4" s="39" t="n">
        <v>1</v>
      </c>
      <c r="G4" s="41" t="n">
        <v>1078</v>
      </c>
      <c r="H4" s="42" t="n">
        <f aca="false">F4*G4</f>
        <v>1078</v>
      </c>
      <c r="I4" s="39" t="s">
        <v>34</v>
      </c>
      <c r="J4" s="39" t="s">
        <v>42</v>
      </c>
      <c r="K4" s="39" t="n">
        <v>3</v>
      </c>
    </row>
    <row r="5" customFormat="false" ht="15" hidden="false" customHeight="false" outlineLevel="0" collapsed="false">
      <c r="A5" s="39" t="s">
        <v>100</v>
      </c>
      <c r="B5" s="40" t="n">
        <v>46204</v>
      </c>
      <c r="C5" s="39" t="s">
        <v>101</v>
      </c>
      <c r="D5" s="39" t="s">
        <v>33</v>
      </c>
      <c r="E5" s="39" t="s">
        <v>102</v>
      </c>
      <c r="F5" s="39" t="n">
        <v>1</v>
      </c>
      <c r="G5" s="41" t="n">
        <v>708</v>
      </c>
      <c r="H5" s="42" t="n">
        <f aca="false">F5*G5</f>
        <v>708</v>
      </c>
      <c r="I5" s="39" t="s">
        <v>36</v>
      </c>
      <c r="J5" s="39" t="s">
        <v>43</v>
      </c>
      <c r="K5" s="39" t="n">
        <v>3</v>
      </c>
    </row>
    <row r="6" customFormat="false" ht="15" hidden="false" customHeight="false" outlineLevel="0" collapsed="false">
      <c r="A6" s="39" t="s">
        <v>103</v>
      </c>
      <c r="B6" s="40" t="n">
        <v>46204</v>
      </c>
      <c r="C6" s="39" t="s">
        <v>48</v>
      </c>
      <c r="D6" s="39" t="s">
        <v>33</v>
      </c>
      <c r="E6" s="39" t="s">
        <v>102</v>
      </c>
      <c r="F6" s="39" t="n">
        <v>1</v>
      </c>
      <c r="G6" s="41" t="n">
        <v>678</v>
      </c>
      <c r="H6" s="42" t="n">
        <f aca="false">F6*G6</f>
        <v>678</v>
      </c>
      <c r="I6" s="39" t="s">
        <v>36</v>
      </c>
      <c r="J6" s="39" t="s">
        <v>42</v>
      </c>
      <c r="K6" s="39" t="n">
        <v>4</v>
      </c>
    </row>
    <row r="7" customFormat="false" ht="15" hidden="false" customHeight="false" outlineLevel="0" collapsed="false">
      <c r="A7" s="39" t="s">
        <v>104</v>
      </c>
      <c r="B7" s="40" t="n">
        <v>46204</v>
      </c>
      <c r="C7" s="39" t="s">
        <v>49</v>
      </c>
      <c r="D7" s="39" t="s">
        <v>39</v>
      </c>
      <c r="E7" s="39" t="s">
        <v>105</v>
      </c>
      <c r="F7" s="39" t="n">
        <v>1</v>
      </c>
      <c r="G7" s="41" t="n">
        <v>1008</v>
      </c>
      <c r="H7" s="42" t="n">
        <f aca="false">F7*G7</f>
        <v>1008</v>
      </c>
      <c r="I7" s="39" t="s">
        <v>36</v>
      </c>
      <c r="J7" s="39" t="s">
        <v>42</v>
      </c>
      <c r="K7" s="39" t="n">
        <v>4</v>
      </c>
    </row>
    <row r="8" customFormat="false" ht="15" hidden="false" customHeight="false" outlineLevel="0" collapsed="false">
      <c r="A8" s="39" t="s">
        <v>106</v>
      </c>
      <c r="B8" s="40" t="n">
        <v>46204</v>
      </c>
      <c r="C8" s="39" t="s">
        <v>51</v>
      </c>
      <c r="D8" s="39" t="s">
        <v>38</v>
      </c>
      <c r="E8" s="39" t="s">
        <v>107</v>
      </c>
      <c r="F8" s="39" t="n">
        <v>3</v>
      </c>
      <c r="G8" s="41" t="n">
        <v>808</v>
      </c>
      <c r="H8" s="42" t="n">
        <f aca="false">F8*G8</f>
        <v>2424</v>
      </c>
      <c r="I8" s="39" t="s">
        <v>36</v>
      </c>
      <c r="J8" s="39" t="s">
        <v>42</v>
      </c>
      <c r="K8" s="39" t="n">
        <v>3</v>
      </c>
    </row>
    <row r="9" customFormat="false" ht="15" hidden="false" customHeight="false" outlineLevel="0" collapsed="false">
      <c r="A9" s="39" t="s">
        <v>108</v>
      </c>
      <c r="B9" s="40" t="n">
        <v>46204</v>
      </c>
      <c r="C9" s="39" t="s">
        <v>109</v>
      </c>
      <c r="D9" s="39" t="s">
        <v>38</v>
      </c>
      <c r="E9" s="39" t="s">
        <v>110</v>
      </c>
      <c r="F9" s="39" t="n">
        <v>1</v>
      </c>
      <c r="G9" s="41" t="n">
        <v>818</v>
      </c>
      <c r="H9" s="42" t="n">
        <f aca="false">F9*G9</f>
        <v>818</v>
      </c>
      <c r="I9" s="39" t="s">
        <v>34</v>
      </c>
      <c r="J9" s="39" t="s">
        <v>42</v>
      </c>
      <c r="K9" s="39" t="n">
        <v>4</v>
      </c>
    </row>
    <row r="10" customFormat="false" ht="15" hidden="false" customHeight="false" outlineLevel="0" collapsed="false">
      <c r="A10" s="39" t="s">
        <v>111</v>
      </c>
      <c r="B10" s="40" t="n">
        <v>46205</v>
      </c>
      <c r="C10" s="39" t="s">
        <v>53</v>
      </c>
      <c r="D10" s="39" t="s">
        <v>39</v>
      </c>
      <c r="E10" s="39" t="s">
        <v>105</v>
      </c>
      <c r="F10" s="39" t="n">
        <v>1</v>
      </c>
      <c r="G10" s="41" t="n">
        <v>1148</v>
      </c>
      <c r="H10" s="42" t="n">
        <f aca="false">F10*G10</f>
        <v>1148</v>
      </c>
      <c r="I10" s="39" t="s">
        <v>34</v>
      </c>
      <c r="J10" s="39" t="s">
        <v>42</v>
      </c>
      <c r="K10" s="39" t="n">
        <v>6</v>
      </c>
    </row>
    <row r="11" customFormat="false" ht="15" hidden="false" customHeight="false" outlineLevel="0" collapsed="false">
      <c r="A11" s="39" t="s">
        <v>112</v>
      </c>
      <c r="B11" s="40" t="n">
        <v>46205</v>
      </c>
      <c r="C11" s="39" t="s">
        <v>48</v>
      </c>
      <c r="D11" s="39" t="s">
        <v>37</v>
      </c>
      <c r="E11" s="39" t="s">
        <v>97</v>
      </c>
      <c r="F11" s="39" t="n">
        <v>2</v>
      </c>
      <c r="G11" s="41" t="n">
        <v>368</v>
      </c>
      <c r="H11" s="42" t="n">
        <f aca="false">F11*G11</f>
        <v>736</v>
      </c>
      <c r="I11" s="39" t="s">
        <v>34</v>
      </c>
      <c r="J11" s="39" t="s">
        <v>42</v>
      </c>
      <c r="K11" s="39" t="n">
        <v>5</v>
      </c>
    </row>
    <row r="12" customFormat="false" ht="15" hidden="false" customHeight="false" outlineLevel="0" collapsed="false">
      <c r="A12" s="39" t="s">
        <v>113</v>
      </c>
      <c r="B12" s="40" t="n">
        <v>46205</v>
      </c>
      <c r="C12" s="39" t="s">
        <v>50</v>
      </c>
      <c r="D12" s="39" t="s">
        <v>33</v>
      </c>
      <c r="E12" s="39" t="s">
        <v>114</v>
      </c>
      <c r="F12" s="39" t="n">
        <v>1</v>
      </c>
      <c r="G12" s="41" t="n">
        <v>628</v>
      </c>
      <c r="H12" s="42" t="n">
        <f aca="false">F12*G12</f>
        <v>628</v>
      </c>
      <c r="I12" s="39" t="s">
        <v>36</v>
      </c>
      <c r="J12" s="39" t="s">
        <v>47</v>
      </c>
      <c r="K12" s="39"/>
    </row>
    <row r="13" customFormat="false" ht="15" hidden="false" customHeight="false" outlineLevel="0" collapsed="false">
      <c r="A13" s="39" t="s">
        <v>115</v>
      </c>
      <c r="B13" s="40" t="n">
        <v>46205</v>
      </c>
      <c r="C13" s="39" t="s">
        <v>53</v>
      </c>
      <c r="D13" s="39" t="s">
        <v>38</v>
      </c>
      <c r="E13" s="39" t="s">
        <v>110</v>
      </c>
      <c r="F13" s="39" t="n">
        <v>1</v>
      </c>
      <c r="G13" s="41" t="n">
        <v>828</v>
      </c>
      <c r="H13" s="42" t="n">
        <f aca="false">F13*G13</f>
        <v>828</v>
      </c>
      <c r="I13" s="39" t="s">
        <v>34</v>
      </c>
      <c r="J13" s="39" t="s">
        <v>42</v>
      </c>
      <c r="K13" s="39" t="n">
        <v>4</v>
      </c>
    </row>
    <row r="14" customFormat="false" ht="15" hidden="false" customHeight="false" outlineLevel="0" collapsed="false">
      <c r="A14" s="39" t="s">
        <v>116</v>
      </c>
      <c r="B14" s="40" t="n">
        <v>46205</v>
      </c>
      <c r="C14" s="39" t="s">
        <v>49</v>
      </c>
      <c r="D14" s="39" t="s">
        <v>33</v>
      </c>
      <c r="E14" s="39" t="s">
        <v>117</v>
      </c>
      <c r="F14" s="39" t="n">
        <v>3</v>
      </c>
      <c r="G14" s="41" t="n">
        <v>548</v>
      </c>
      <c r="H14" s="42" t="n">
        <f aca="false">F14*G14</f>
        <v>1644</v>
      </c>
      <c r="I14" s="39" t="s">
        <v>34</v>
      </c>
      <c r="J14" s="39" t="s">
        <v>45</v>
      </c>
      <c r="K14" s="39"/>
    </row>
    <row r="15" customFormat="false" ht="15" hidden="false" customHeight="false" outlineLevel="0" collapsed="false">
      <c r="A15" s="39" t="s">
        <v>118</v>
      </c>
      <c r="B15" s="40" t="n">
        <v>46205</v>
      </c>
      <c r="C15" s="39" t="s">
        <v>101</v>
      </c>
      <c r="D15" s="39" t="s">
        <v>33</v>
      </c>
      <c r="E15" s="39" t="s">
        <v>114</v>
      </c>
      <c r="F15" s="39" t="n">
        <v>2</v>
      </c>
      <c r="G15" s="41" t="n">
        <v>708</v>
      </c>
      <c r="H15" s="42" t="n">
        <f aca="false">F15*G15</f>
        <v>1416</v>
      </c>
      <c r="I15" s="39" t="s">
        <v>36</v>
      </c>
      <c r="J15" s="39" t="s">
        <v>42</v>
      </c>
      <c r="K15" s="39" t="n">
        <v>3</v>
      </c>
    </row>
    <row r="16" customFormat="false" ht="15" hidden="false" customHeight="false" outlineLevel="0" collapsed="false">
      <c r="A16" s="39" t="s">
        <v>119</v>
      </c>
      <c r="B16" s="40" t="n">
        <v>46205</v>
      </c>
      <c r="C16" s="39" t="s">
        <v>53</v>
      </c>
      <c r="D16" s="39" t="s">
        <v>38</v>
      </c>
      <c r="E16" s="39" t="s">
        <v>107</v>
      </c>
      <c r="F16" s="39" t="n">
        <v>1</v>
      </c>
      <c r="G16" s="41" t="n">
        <v>358</v>
      </c>
      <c r="H16" s="42" t="n">
        <f aca="false">F16*G16</f>
        <v>358</v>
      </c>
      <c r="I16" s="39" t="s">
        <v>36</v>
      </c>
      <c r="J16" s="39" t="s">
        <v>42</v>
      </c>
      <c r="K16" s="39" t="n">
        <v>4</v>
      </c>
    </row>
    <row r="17" customFormat="false" ht="15" hidden="false" customHeight="false" outlineLevel="0" collapsed="false">
      <c r="A17" s="39" t="s">
        <v>120</v>
      </c>
      <c r="B17" s="40" t="n">
        <v>46205</v>
      </c>
      <c r="C17" s="39" t="s">
        <v>50</v>
      </c>
      <c r="D17" s="39" t="s">
        <v>38</v>
      </c>
      <c r="E17" s="39" t="s">
        <v>121</v>
      </c>
      <c r="F17" s="39" t="n">
        <v>1</v>
      </c>
      <c r="G17" s="41" t="n">
        <v>818</v>
      </c>
      <c r="H17" s="42" t="n">
        <f aca="false">F17*G17</f>
        <v>818</v>
      </c>
      <c r="I17" s="39" t="s">
        <v>34</v>
      </c>
      <c r="J17" s="39" t="s">
        <v>43</v>
      </c>
      <c r="K17" s="39" t="n">
        <v>5</v>
      </c>
    </row>
    <row r="18" customFormat="false" ht="15" hidden="false" customHeight="false" outlineLevel="0" collapsed="false">
      <c r="A18" s="39" t="s">
        <v>122</v>
      </c>
      <c r="B18" s="40" t="n">
        <v>46206</v>
      </c>
      <c r="C18" s="39" t="s">
        <v>51</v>
      </c>
      <c r="D18" s="39" t="s">
        <v>37</v>
      </c>
      <c r="E18" s="39" t="s">
        <v>97</v>
      </c>
      <c r="F18" s="39" t="n">
        <v>1</v>
      </c>
      <c r="G18" s="41" t="n">
        <v>588</v>
      </c>
      <c r="H18" s="42" t="n">
        <f aca="false">F18*G18</f>
        <v>588</v>
      </c>
      <c r="I18" s="39" t="s">
        <v>36</v>
      </c>
      <c r="J18" s="39" t="s">
        <v>47</v>
      </c>
      <c r="K18" s="39"/>
    </row>
    <row r="19" customFormat="false" ht="15" hidden="false" customHeight="false" outlineLevel="0" collapsed="false">
      <c r="A19" s="39" t="s">
        <v>123</v>
      </c>
      <c r="B19" s="40" t="n">
        <v>46206</v>
      </c>
      <c r="C19" s="39" t="s">
        <v>50</v>
      </c>
      <c r="D19" s="39" t="s">
        <v>33</v>
      </c>
      <c r="E19" s="39" t="s">
        <v>117</v>
      </c>
      <c r="F19" s="39" t="n">
        <v>2</v>
      </c>
      <c r="G19" s="41" t="n">
        <v>598</v>
      </c>
      <c r="H19" s="42" t="n">
        <f aca="false">F19*G19</f>
        <v>1196</v>
      </c>
      <c r="I19" s="39" t="s">
        <v>34</v>
      </c>
      <c r="J19" s="39" t="s">
        <v>42</v>
      </c>
      <c r="K19" s="39" t="n">
        <v>4</v>
      </c>
    </row>
    <row r="20" customFormat="false" ht="15" hidden="false" customHeight="false" outlineLevel="0" collapsed="false">
      <c r="A20" s="39" t="s">
        <v>124</v>
      </c>
      <c r="B20" s="40" t="n">
        <v>46206</v>
      </c>
      <c r="C20" s="39" t="s">
        <v>51</v>
      </c>
      <c r="D20" s="39" t="s">
        <v>35</v>
      </c>
      <c r="E20" s="39" t="s">
        <v>125</v>
      </c>
      <c r="F20" s="39" t="n">
        <v>1</v>
      </c>
      <c r="G20" s="41" t="n">
        <v>338</v>
      </c>
      <c r="H20" s="42" t="n">
        <f aca="false">F20*G20</f>
        <v>338</v>
      </c>
      <c r="I20" s="39" t="s">
        <v>34</v>
      </c>
      <c r="J20" s="39" t="s">
        <v>42</v>
      </c>
      <c r="K20" s="39" t="n">
        <v>4</v>
      </c>
    </row>
    <row r="21" customFormat="false" ht="15" hidden="false" customHeight="false" outlineLevel="0" collapsed="false">
      <c r="A21" s="39" t="s">
        <v>126</v>
      </c>
      <c r="B21" s="40" t="n">
        <v>46206</v>
      </c>
      <c r="C21" s="39" t="s">
        <v>51</v>
      </c>
      <c r="D21" s="39" t="s">
        <v>38</v>
      </c>
      <c r="E21" s="39" t="s">
        <v>110</v>
      </c>
      <c r="F21" s="39" t="n">
        <v>1</v>
      </c>
      <c r="G21" s="41" t="n">
        <v>598</v>
      </c>
      <c r="H21" s="42" t="n">
        <f aca="false">F21*G21</f>
        <v>598</v>
      </c>
      <c r="I21" s="39" t="s">
        <v>36</v>
      </c>
      <c r="J21" s="39" t="s">
        <v>42</v>
      </c>
      <c r="K21" s="39" t="n">
        <v>3</v>
      </c>
    </row>
    <row r="22" customFormat="false" ht="15" hidden="false" customHeight="false" outlineLevel="0" collapsed="false">
      <c r="A22" s="39" t="s">
        <v>127</v>
      </c>
      <c r="B22" s="40" t="n">
        <v>46206</v>
      </c>
      <c r="C22" s="39" t="s">
        <v>101</v>
      </c>
      <c r="D22" s="39" t="s">
        <v>33</v>
      </c>
      <c r="E22" s="39" t="s">
        <v>114</v>
      </c>
      <c r="F22" s="39" t="n">
        <v>1</v>
      </c>
      <c r="G22" s="41" t="n">
        <v>858</v>
      </c>
      <c r="H22" s="42" t="n">
        <f aca="false">F22*G22</f>
        <v>858</v>
      </c>
      <c r="I22" s="39" t="s">
        <v>36</v>
      </c>
      <c r="J22" s="39" t="s">
        <v>47</v>
      </c>
      <c r="K22" s="39"/>
    </row>
    <row r="23" customFormat="false" ht="15" hidden="false" customHeight="false" outlineLevel="0" collapsed="false">
      <c r="A23" s="39" t="s">
        <v>128</v>
      </c>
      <c r="B23" s="40" t="n">
        <v>46206</v>
      </c>
      <c r="C23" s="39" t="s">
        <v>53</v>
      </c>
      <c r="D23" s="39" t="s">
        <v>39</v>
      </c>
      <c r="E23" s="39" t="s">
        <v>129</v>
      </c>
      <c r="F23" s="39" t="n">
        <v>3</v>
      </c>
      <c r="G23" s="41" t="n">
        <v>798</v>
      </c>
      <c r="H23" s="42" t="n">
        <f aca="false">F23*G23</f>
        <v>2394</v>
      </c>
      <c r="I23" s="39" t="s">
        <v>36</v>
      </c>
      <c r="J23" s="39" t="s">
        <v>42</v>
      </c>
      <c r="K23" s="39" t="n">
        <v>4</v>
      </c>
    </row>
    <row r="24" customFormat="false" ht="15" hidden="false" customHeight="false" outlineLevel="0" collapsed="false">
      <c r="A24" s="39" t="s">
        <v>130</v>
      </c>
      <c r="B24" s="40" t="n">
        <v>46206</v>
      </c>
      <c r="C24" s="39" t="s">
        <v>52</v>
      </c>
      <c r="D24" s="39" t="s">
        <v>37</v>
      </c>
      <c r="E24" s="39" t="s">
        <v>131</v>
      </c>
      <c r="F24" s="39" t="n">
        <v>1</v>
      </c>
      <c r="G24" s="41" t="n">
        <v>218</v>
      </c>
      <c r="H24" s="42" t="n">
        <f aca="false">F24*G24</f>
        <v>218</v>
      </c>
      <c r="I24" s="39" t="s">
        <v>34</v>
      </c>
      <c r="J24" s="39" t="s">
        <v>42</v>
      </c>
      <c r="K24" s="39" t="n">
        <v>4</v>
      </c>
    </row>
    <row r="25" customFormat="false" ht="15" hidden="false" customHeight="false" outlineLevel="0" collapsed="false">
      <c r="A25" s="39" t="s">
        <v>132</v>
      </c>
      <c r="B25" s="40" t="n">
        <v>46206</v>
      </c>
      <c r="C25" s="39" t="s">
        <v>48</v>
      </c>
      <c r="D25" s="39" t="s">
        <v>39</v>
      </c>
      <c r="E25" s="39" t="s">
        <v>99</v>
      </c>
      <c r="F25" s="39" t="n">
        <v>1</v>
      </c>
      <c r="G25" s="41" t="n">
        <v>988</v>
      </c>
      <c r="H25" s="42" t="n">
        <f aca="false">F25*G25</f>
        <v>988</v>
      </c>
      <c r="I25" s="39" t="s">
        <v>34</v>
      </c>
      <c r="J25" s="39" t="s">
        <v>42</v>
      </c>
      <c r="K25" s="39" t="n">
        <v>4</v>
      </c>
    </row>
    <row r="26" customFormat="false" ht="15" hidden="false" customHeight="false" outlineLevel="0" collapsed="false">
      <c r="A26" s="39" t="s">
        <v>133</v>
      </c>
      <c r="B26" s="40" t="n">
        <v>46207</v>
      </c>
      <c r="C26" s="39" t="s">
        <v>49</v>
      </c>
      <c r="D26" s="39" t="s">
        <v>33</v>
      </c>
      <c r="E26" s="39" t="s">
        <v>114</v>
      </c>
      <c r="F26" s="39" t="n">
        <v>1</v>
      </c>
      <c r="G26" s="41" t="n">
        <v>748</v>
      </c>
      <c r="H26" s="42" t="n">
        <f aca="false">F26*G26</f>
        <v>748</v>
      </c>
      <c r="I26" s="39" t="s">
        <v>34</v>
      </c>
      <c r="J26" s="39" t="s">
        <v>42</v>
      </c>
      <c r="K26" s="39" t="n">
        <v>4</v>
      </c>
    </row>
    <row r="27" customFormat="false" ht="15" hidden="false" customHeight="false" outlineLevel="0" collapsed="false">
      <c r="A27" s="39" t="s">
        <v>134</v>
      </c>
      <c r="B27" s="40" t="n">
        <v>46207</v>
      </c>
      <c r="C27" s="39" t="s">
        <v>49</v>
      </c>
      <c r="D27" s="39" t="s">
        <v>38</v>
      </c>
      <c r="E27" s="39" t="s">
        <v>110</v>
      </c>
      <c r="F27" s="39" t="n">
        <v>2</v>
      </c>
      <c r="G27" s="41" t="n">
        <v>698</v>
      </c>
      <c r="H27" s="42" t="n">
        <f aca="false">F27*G27</f>
        <v>1396</v>
      </c>
      <c r="I27" s="39" t="s">
        <v>34</v>
      </c>
      <c r="J27" s="39" t="s">
        <v>42</v>
      </c>
      <c r="K27" s="39" t="n">
        <v>4</v>
      </c>
    </row>
    <row r="28" customFormat="false" ht="15" hidden="false" customHeight="false" outlineLevel="0" collapsed="false">
      <c r="A28" s="39" t="s">
        <v>135</v>
      </c>
      <c r="B28" s="40" t="n">
        <v>46207</v>
      </c>
      <c r="C28" s="39" t="s">
        <v>48</v>
      </c>
      <c r="D28" s="39" t="s">
        <v>33</v>
      </c>
      <c r="E28" s="39" t="s">
        <v>136</v>
      </c>
      <c r="F28" s="39" t="n">
        <v>1</v>
      </c>
      <c r="G28" s="41" t="n">
        <v>458</v>
      </c>
      <c r="H28" s="42" t="n">
        <f aca="false">F28*G28</f>
        <v>458</v>
      </c>
      <c r="I28" s="39" t="s">
        <v>34</v>
      </c>
      <c r="J28" s="39" t="s">
        <v>42</v>
      </c>
      <c r="K28" s="39" t="n">
        <v>2</v>
      </c>
    </row>
    <row r="29" customFormat="false" ht="15" hidden="false" customHeight="false" outlineLevel="0" collapsed="false">
      <c r="A29" s="39" t="s">
        <v>137</v>
      </c>
      <c r="B29" s="40" t="n">
        <v>46207</v>
      </c>
      <c r="C29" s="39" t="s">
        <v>101</v>
      </c>
      <c r="D29" s="39" t="s">
        <v>33</v>
      </c>
      <c r="E29" s="39" t="s">
        <v>114</v>
      </c>
      <c r="F29" s="39" t="n">
        <v>2</v>
      </c>
      <c r="G29" s="41" t="n">
        <v>588</v>
      </c>
      <c r="H29" s="42" t="n">
        <f aca="false">F29*G29</f>
        <v>1176</v>
      </c>
      <c r="I29" s="39" t="s">
        <v>34</v>
      </c>
      <c r="J29" s="39" t="s">
        <v>42</v>
      </c>
      <c r="K29" s="39" t="n">
        <v>4</v>
      </c>
    </row>
    <row r="30" customFormat="false" ht="15" hidden="false" customHeight="false" outlineLevel="0" collapsed="false">
      <c r="A30" s="39" t="s">
        <v>138</v>
      </c>
      <c r="B30" s="40" t="n">
        <v>46207</v>
      </c>
      <c r="C30" s="39" t="s">
        <v>53</v>
      </c>
      <c r="D30" s="39" t="s">
        <v>39</v>
      </c>
      <c r="E30" s="39" t="s">
        <v>105</v>
      </c>
      <c r="F30" s="39" t="n">
        <v>1</v>
      </c>
      <c r="G30" s="41" t="n">
        <v>1158</v>
      </c>
      <c r="H30" s="42" t="n">
        <f aca="false">F30*G30</f>
        <v>1158</v>
      </c>
      <c r="I30" s="39" t="s">
        <v>34</v>
      </c>
      <c r="J30" s="39" t="s">
        <v>42</v>
      </c>
      <c r="K30" s="39" t="n">
        <v>5</v>
      </c>
    </row>
    <row r="31" customFormat="false" ht="15" hidden="false" customHeight="false" outlineLevel="0" collapsed="false">
      <c r="A31" s="39" t="s">
        <v>139</v>
      </c>
      <c r="B31" s="40" t="n">
        <v>46207</v>
      </c>
      <c r="C31" s="39" t="s">
        <v>101</v>
      </c>
      <c r="D31" s="39" t="s">
        <v>33</v>
      </c>
      <c r="E31" s="39" t="s">
        <v>136</v>
      </c>
      <c r="F31" s="39" t="n">
        <v>1</v>
      </c>
      <c r="G31" s="41" t="n">
        <v>428</v>
      </c>
      <c r="H31" s="42" t="n">
        <f aca="false">F31*G31</f>
        <v>428</v>
      </c>
      <c r="I31" s="39" t="s">
        <v>34</v>
      </c>
      <c r="J31" s="39" t="s">
        <v>42</v>
      </c>
      <c r="K31" s="39" t="n">
        <v>5</v>
      </c>
    </row>
    <row r="32" customFormat="false" ht="15" hidden="false" customHeight="false" outlineLevel="0" collapsed="false">
      <c r="A32" s="39" t="s">
        <v>140</v>
      </c>
      <c r="B32" s="40" t="n">
        <v>46207</v>
      </c>
      <c r="C32" s="39" t="s">
        <v>52</v>
      </c>
      <c r="D32" s="39" t="s">
        <v>37</v>
      </c>
      <c r="E32" s="39" t="s">
        <v>141</v>
      </c>
      <c r="F32" s="39" t="n">
        <v>1</v>
      </c>
      <c r="G32" s="41" t="n">
        <v>278</v>
      </c>
      <c r="H32" s="42" t="n">
        <f aca="false">F32*G32</f>
        <v>278</v>
      </c>
      <c r="I32" s="39" t="s">
        <v>34</v>
      </c>
      <c r="J32" s="39" t="s">
        <v>42</v>
      </c>
      <c r="K32" s="39" t="n">
        <v>5</v>
      </c>
    </row>
    <row r="33" customFormat="false" ht="15" hidden="false" customHeight="false" outlineLevel="0" collapsed="false">
      <c r="A33" s="39" t="s">
        <v>142</v>
      </c>
      <c r="B33" s="40" t="n">
        <v>46207</v>
      </c>
      <c r="C33" s="39" t="s">
        <v>51</v>
      </c>
      <c r="D33" s="39" t="s">
        <v>38</v>
      </c>
      <c r="E33" s="39" t="s">
        <v>121</v>
      </c>
      <c r="F33" s="39" t="n">
        <v>2</v>
      </c>
      <c r="G33" s="41" t="n">
        <v>568</v>
      </c>
      <c r="H33" s="42" t="n">
        <f aca="false">F33*G33</f>
        <v>1136</v>
      </c>
      <c r="I33" s="39" t="s">
        <v>36</v>
      </c>
      <c r="J33" s="39" t="s">
        <v>47</v>
      </c>
      <c r="K33" s="39"/>
    </row>
    <row r="34" customFormat="false" ht="15" hidden="false" customHeight="false" outlineLevel="0" collapsed="false">
      <c r="A34" s="39" t="s">
        <v>143</v>
      </c>
      <c r="B34" s="40" t="n">
        <v>46207</v>
      </c>
      <c r="C34" s="39" t="s">
        <v>101</v>
      </c>
      <c r="D34" s="39" t="s">
        <v>33</v>
      </c>
      <c r="E34" s="39" t="s">
        <v>117</v>
      </c>
      <c r="F34" s="39" t="n">
        <v>1</v>
      </c>
      <c r="G34" s="41" t="n">
        <v>548</v>
      </c>
      <c r="H34" s="42" t="n">
        <f aca="false">F34*G34</f>
        <v>548</v>
      </c>
      <c r="I34" s="39" t="s">
        <v>36</v>
      </c>
      <c r="J34" s="39" t="s">
        <v>47</v>
      </c>
      <c r="K34" s="39"/>
    </row>
    <row r="35" customFormat="false" ht="15" hidden="false" customHeight="false" outlineLevel="0" collapsed="false">
      <c r="A35" s="39" t="s">
        <v>144</v>
      </c>
      <c r="B35" s="40" t="n">
        <v>46207</v>
      </c>
      <c r="C35" s="39" t="s">
        <v>51</v>
      </c>
      <c r="D35" s="39" t="s">
        <v>33</v>
      </c>
      <c r="E35" s="39" t="s">
        <v>114</v>
      </c>
      <c r="F35" s="39" t="n">
        <v>1</v>
      </c>
      <c r="G35" s="41" t="n">
        <v>488</v>
      </c>
      <c r="H35" s="42" t="n">
        <f aca="false">F35*G35</f>
        <v>488</v>
      </c>
      <c r="I35" s="39" t="s">
        <v>34</v>
      </c>
      <c r="J35" s="39" t="s">
        <v>42</v>
      </c>
      <c r="K35" s="39" t="n">
        <v>3</v>
      </c>
    </row>
    <row r="36" customFormat="false" ht="15" hidden="false" customHeight="false" outlineLevel="0" collapsed="false">
      <c r="A36" s="39" t="s">
        <v>145</v>
      </c>
      <c r="B36" s="40" t="n">
        <v>46207</v>
      </c>
      <c r="C36" s="39" t="s">
        <v>48</v>
      </c>
      <c r="D36" s="39" t="s">
        <v>35</v>
      </c>
      <c r="E36" s="39" t="s">
        <v>95</v>
      </c>
      <c r="F36" s="39" t="n">
        <v>1</v>
      </c>
      <c r="G36" s="41" t="n">
        <v>748</v>
      </c>
      <c r="H36" s="42" t="n">
        <f aca="false">F36*G36</f>
        <v>748</v>
      </c>
      <c r="I36" s="39" t="s">
        <v>36</v>
      </c>
      <c r="J36" s="39" t="s">
        <v>42</v>
      </c>
      <c r="K36" s="39" t="n">
        <v>3</v>
      </c>
    </row>
    <row r="37" customFormat="false" ht="15" hidden="false" customHeight="false" outlineLevel="0" collapsed="false">
      <c r="A37" s="39" t="s">
        <v>146</v>
      </c>
      <c r="B37" s="40" t="n">
        <v>46207</v>
      </c>
      <c r="C37" s="39" t="s">
        <v>101</v>
      </c>
      <c r="D37" s="39" t="s">
        <v>35</v>
      </c>
      <c r="E37" s="39" t="s">
        <v>95</v>
      </c>
      <c r="F37" s="39" t="n">
        <v>1</v>
      </c>
      <c r="G37" s="41" t="n">
        <v>338</v>
      </c>
      <c r="H37" s="42" t="n">
        <f aca="false">F37*G37</f>
        <v>338</v>
      </c>
      <c r="I37" s="39" t="s">
        <v>34</v>
      </c>
      <c r="J37" s="39" t="s">
        <v>42</v>
      </c>
      <c r="K37" s="39" t="n">
        <v>4</v>
      </c>
    </row>
    <row r="38" customFormat="false" ht="15" hidden="false" customHeight="false" outlineLevel="0" collapsed="false">
      <c r="A38" s="39" t="s">
        <v>147</v>
      </c>
      <c r="B38" s="40" t="n">
        <v>46207</v>
      </c>
      <c r="C38" s="39" t="s">
        <v>48</v>
      </c>
      <c r="D38" s="39" t="s">
        <v>37</v>
      </c>
      <c r="E38" s="39" t="s">
        <v>131</v>
      </c>
      <c r="F38" s="39" t="n">
        <v>1</v>
      </c>
      <c r="G38" s="41" t="n">
        <v>388</v>
      </c>
      <c r="H38" s="42" t="n">
        <f aca="false">F38*G38</f>
        <v>388</v>
      </c>
      <c r="I38" s="39" t="s">
        <v>34</v>
      </c>
      <c r="J38" s="39" t="s">
        <v>42</v>
      </c>
      <c r="K38" s="39" t="n">
        <v>3</v>
      </c>
    </row>
    <row r="39" customFormat="false" ht="15" hidden="false" customHeight="false" outlineLevel="0" collapsed="false">
      <c r="A39" s="39" t="s">
        <v>148</v>
      </c>
      <c r="B39" s="40" t="n">
        <v>46207</v>
      </c>
      <c r="C39" s="39" t="s">
        <v>52</v>
      </c>
      <c r="D39" s="39" t="s">
        <v>39</v>
      </c>
      <c r="E39" s="39" t="s">
        <v>105</v>
      </c>
      <c r="F39" s="39" t="n">
        <v>1</v>
      </c>
      <c r="G39" s="41" t="n">
        <v>928</v>
      </c>
      <c r="H39" s="42" t="n">
        <f aca="false">F39*G39</f>
        <v>928</v>
      </c>
      <c r="I39" s="39" t="s">
        <v>36</v>
      </c>
      <c r="J39" s="39" t="s">
        <v>42</v>
      </c>
      <c r="K39" s="39" t="n">
        <v>3</v>
      </c>
    </row>
    <row r="40" customFormat="false" ht="15" hidden="false" customHeight="false" outlineLevel="0" collapsed="false">
      <c r="A40" s="39" t="s">
        <v>149</v>
      </c>
      <c r="B40" s="40" t="n">
        <v>46207</v>
      </c>
      <c r="C40" s="39" t="s">
        <v>101</v>
      </c>
      <c r="D40" s="39" t="s">
        <v>37</v>
      </c>
      <c r="E40" s="39" t="s">
        <v>97</v>
      </c>
      <c r="F40" s="39" t="n">
        <v>1</v>
      </c>
      <c r="G40" s="41" t="n">
        <v>338</v>
      </c>
      <c r="H40" s="42" t="n">
        <f aca="false">F40*G40</f>
        <v>338</v>
      </c>
      <c r="I40" s="39" t="s">
        <v>34</v>
      </c>
      <c r="J40" s="39" t="s">
        <v>42</v>
      </c>
      <c r="K40" s="39" t="n">
        <v>5</v>
      </c>
    </row>
    <row r="41" customFormat="false" ht="15" hidden="false" customHeight="false" outlineLevel="0" collapsed="false">
      <c r="A41" s="39" t="s">
        <v>150</v>
      </c>
      <c r="B41" s="40" t="n">
        <v>46207</v>
      </c>
      <c r="C41" s="39" t="s">
        <v>109</v>
      </c>
      <c r="D41" s="39" t="s">
        <v>38</v>
      </c>
      <c r="E41" s="39" t="s">
        <v>107</v>
      </c>
      <c r="F41" s="39" t="n">
        <v>1</v>
      </c>
      <c r="G41" s="41" t="n">
        <v>388</v>
      </c>
      <c r="H41" s="42" t="n">
        <f aca="false">F41*G41</f>
        <v>388</v>
      </c>
      <c r="I41" s="39" t="s">
        <v>34</v>
      </c>
      <c r="J41" s="39" t="s">
        <v>42</v>
      </c>
      <c r="K41" s="39" t="n">
        <v>3</v>
      </c>
    </row>
    <row r="42" customFormat="false" ht="15" hidden="false" customHeight="false" outlineLevel="0" collapsed="false">
      <c r="A42" s="39" t="s">
        <v>151</v>
      </c>
      <c r="B42" s="40" t="n">
        <v>46208</v>
      </c>
      <c r="C42" s="39" t="s">
        <v>101</v>
      </c>
      <c r="D42" s="39" t="s">
        <v>37</v>
      </c>
      <c r="E42" s="39" t="s">
        <v>97</v>
      </c>
      <c r="F42" s="39" t="n">
        <v>1</v>
      </c>
      <c r="G42" s="41" t="n">
        <v>548</v>
      </c>
      <c r="H42" s="42" t="n">
        <f aca="false">F42*G42</f>
        <v>548</v>
      </c>
      <c r="I42" s="39" t="s">
        <v>34</v>
      </c>
      <c r="J42" s="39" t="s">
        <v>42</v>
      </c>
      <c r="K42" s="39" t="n">
        <v>2</v>
      </c>
    </row>
    <row r="43" customFormat="false" ht="15" hidden="false" customHeight="false" outlineLevel="0" collapsed="false">
      <c r="A43" s="39" t="s">
        <v>152</v>
      </c>
      <c r="B43" s="40" t="n">
        <v>46208</v>
      </c>
      <c r="C43" s="39" t="s">
        <v>50</v>
      </c>
      <c r="D43" s="39" t="s">
        <v>33</v>
      </c>
      <c r="E43" s="39" t="s">
        <v>136</v>
      </c>
      <c r="F43" s="39" t="n">
        <v>1</v>
      </c>
      <c r="G43" s="41" t="n">
        <v>448</v>
      </c>
      <c r="H43" s="42" t="n">
        <f aca="false">F43*G43</f>
        <v>448</v>
      </c>
      <c r="I43" s="39" t="s">
        <v>34</v>
      </c>
      <c r="J43" s="39" t="s">
        <v>42</v>
      </c>
      <c r="K43" s="39" t="n">
        <v>7</v>
      </c>
    </row>
    <row r="44" customFormat="false" ht="15" hidden="false" customHeight="false" outlineLevel="0" collapsed="false">
      <c r="A44" s="39" t="s">
        <v>153</v>
      </c>
      <c r="B44" s="40" t="n">
        <v>46208</v>
      </c>
      <c r="C44" s="39" t="s">
        <v>53</v>
      </c>
      <c r="D44" s="39" t="s">
        <v>33</v>
      </c>
      <c r="E44" s="39" t="s">
        <v>136</v>
      </c>
      <c r="F44" s="39" t="n">
        <v>1</v>
      </c>
      <c r="G44" s="41" t="n">
        <v>888</v>
      </c>
      <c r="H44" s="42" t="n">
        <f aca="false">F44*G44</f>
        <v>888</v>
      </c>
      <c r="I44" s="39" t="s">
        <v>36</v>
      </c>
      <c r="J44" s="39" t="s">
        <v>42</v>
      </c>
      <c r="K44" s="39" t="n">
        <v>6</v>
      </c>
    </row>
    <row r="45" customFormat="false" ht="15" hidden="false" customHeight="false" outlineLevel="0" collapsed="false">
      <c r="A45" s="39" t="s">
        <v>154</v>
      </c>
      <c r="B45" s="40" t="n">
        <v>46208</v>
      </c>
      <c r="C45" s="39" t="s">
        <v>49</v>
      </c>
      <c r="D45" s="39" t="s">
        <v>33</v>
      </c>
      <c r="E45" s="39" t="s">
        <v>102</v>
      </c>
      <c r="F45" s="39" t="n">
        <v>1</v>
      </c>
      <c r="G45" s="41" t="n">
        <v>798</v>
      </c>
      <c r="H45" s="42" t="n">
        <f aca="false">F45*G45</f>
        <v>798</v>
      </c>
      <c r="I45" s="39" t="s">
        <v>36</v>
      </c>
      <c r="J45" s="39" t="s">
        <v>42</v>
      </c>
      <c r="K45" s="39" t="n">
        <v>3</v>
      </c>
    </row>
    <row r="46" customFormat="false" ht="15" hidden="false" customHeight="false" outlineLevel="0" collapsed="false">
      <c r="A46" s="39" t="s">
        <v>155</v>
      </c>
      <c r="B46" s="40" t="n">
        <v>46208</v>
      </c>
      <c r="C46" s="39" t="s">
        <v>48</v>
      </c>
      <c r="D46" s="39" t="s">
        <v>39</v>
      </c>
      <c r="E46" s="39" t="s">
        <v>105</v>
      </c>
      <c r="F46" s="39" t="n">
        <v>2</v>
      </c>
      <c r="G46" s="41" t="n">
        <v>788</v>
      </c>
      <c r="H46" s="42" t="n">
        <f aca="false">F46*G46</f>
        <v>1576</v>
      </c>
      <c r="I46" s="39" t="s">
        <v>34</v>
      </c>
      <c r="J46" s="39" t="s">
        <v>42</v>
      </c>
      <c r="K46" s="39" t="n">
        <v>3</v>
      </c>
    </row>
    <row r="47" customFormat="false" ht="15" hidden="false" customHeight="false" outlineLevel="0" collapsed="false">
      <c r="A47" s="39" t="s">
        <v>156</v>
      </c>
      <c r="B47" s="40" t="n">
        <v>46208</v>
      </c>
      <c r="C47" s="39" t="s">
        <v>101</v>
      </c>
      <c r="D47" s="39" t="s">
        <v>38</v>
      </c>
      <c r="E47" s="39" t="s">
        <v>121</v>
      </c>
      <c r="F47" s="39" t="n">
        <v>1</v>
      </c>
      <c r="G47" s="41" t="n">
        <v>668</v>
      </c>
      <c r="H47" s="42" t="n">
        <f aca="false">F47*G47</f>
        <v>668</v>
      </c>
      <c r="I47" s="39" t="s">
        <v>34</v>
      </c>
      <c r="J47" s="39" t="s">
        <v>42</v>
      </c>
      <c r="K47" s="39" t="n">
        <v>4</v>
      </c>
    </row>
    <row r="48" customFormat="false" ht="15" hidden="false" customHeight="false" outlineLevel="0" collapsed="false">
      <c r="A48" s="39" t="s">
        <v>157</v>
      </c>
      <c r="B48" s="40" t="n">
        <v>46208</v>
      </c>
      <c r="C48" s="39" t="s">
        <v>48</v>
      </c>
      <c r="D48" s="39" t="s">
        <v>37</v>
      </c>
      <c r="E48" s="39" t="s">
        <v>131</v>
      </c>
      <c r="F48" s="39" t="n">
        <v>1</v>
      </c>
      <c r="G48" s="41" t="n">
        <v>388</v>
      </c>
      <c r="H48" s="42" t="n">
        <f aca="false">F48*G48</f>
        <v>388</v>
      </c>
      <c r="I48" s="39" t="s">
        <v>36</v>
      </c>
      <c r="J48" s="39" t="s">
        <v>42</v>
      </c>
      <c r="K48" s="39" t="n">
        <v>6</v>
      </c>
    </row>
    <row r="49" customFormat="false" ht="15" hidden="false" customHeight="false" outlineLevel="0" collapsed="false">
      <c r="A49" s="39" t="s">
        <v>158</v>
      </c>
      <c r="B49" s="40" t="n">
        <v>46208</v>
      </c>
      <c r="C49" s="39" t="s">
        <v>52</v>
      </c>
      <c r="D49" s="39" t="s">
        <v>35</v>
      </c>
      <c r="E49" s="39" t="s">
        <v>159</v>
      </c>
      <c r="F49" s="39" t="n">
        <v>2</v>
      </c>
      <c r="G49" s="41" t="n">
        <v>458</v>
      </c>
      <c r="H49" s="42" t="n">
        <f aca="false">F49*G49</f>
        <v>916</v>
      </c>
      <c r="I49" s="39" t="s">
        <v>34</v>
      </c>
      <c r="J49" s="39" t="s">
        <v>43</v>
      </c>
      <c r="K49" s="39" t="n">
        <v>5</v>
      </c>
    </row>
    <row r="50" customFormat="false" ht="15" hidden="false" customHeight="false" outlineLevel="0" collapsed="false">
      <c r="A50" s="39" t="s">
        <v>160</v>
      </c>
      <c r="B50" s="40" t="n">
        <v>46208</v>
      </c>
      <c r="C50" s="39" t="s">
        <v>52</v>
      </c>
      <c r="D50" s="39" t="s">
        <v>37</v>
      </c>
      <c r="E50" s="39" t="s">
        <v>131</v>
      </c>
      <c r="F50" s="39" t="n">
        <v>2</v>
      </c>
      <c r="G50" s="41" t="n">
        <v>408</v>
      </c>
      <c r="H50" s="42" t="n">
        <f aca="false">F50*G50</f>
        <v>816</v>
      </c>
      <c r="I50" s="39" t="s">
        <v>36</v>
      </c>
      <c r="J50" s="39" t="s">
        <v>47</v>
      </c>
      <c r="K50" s="39"/>
    </row>
    <row r="51" customFormat="false" ht="15" hidden="false" customHeight="false" outlineLevel="0" collapsed="false">
      <c r="A51" s="39" t="s">
        <v>161</v>
      </c>
      <c r="B51" s="40" t="n">
        <v>46208</v>
      </c>
      <c r="C51" s="39" t="s">
        <v>51</v>
      </c>
      <c r="D51" s="39" t="s">
        <v>39</v>
      </c>
      <c r="E51" s="39" t="s">
        <v>99</v>
      </c>
      <c r="F51" s="39" t="n">
        <v>1</v>
      </c>
      <c r="G51" s="41" t="n">
        <v>858</v>
      </c>
      <c r="H51" s="42" t="n">
        <f aca="false">F51*G51</f>
        <v>858</v>
      </c>
      <c r="I51" s="39" t="s">
        <v>34</v>
      </c>
      <c r="J51" s="39" t="s">
        <v>42</v>
      </c>
      <c r="K51" s="39" t="n">
        <v>3</v>
      </c>
    </row>
    <row r="52" customFormat="false" ht="15" hidden="false" customHeight="false" outlineLevel="0" collapsed="false">
      <c r="A52" s="39" t="s">
        <v>162</v>
      </c>
      <c r="B52" s="40" t="n">
        <v>46208</v>
      </c>
      <c r="C52" s="39" t="s">
        <v>109</v>
      </c>
      <c r="D52" s="39" t="s">
        <v>38</v>
      </c>
      <c r="E52" s="39" t="s">
        <v>107</v>
      </c>
      <c r="F52" s="39" t="n">
        <v>2</v>
      </c>
      <c r="G52" s="41" t="n">
        <v>938</v>
      </c>
      <c r="H52" s="42" t="n">
        <f aca="false">F52*G52</f>
        <v>1876</v>
      </c>
      <c r="I52" s="39" t="s">
        <v>34</v>
      </c>
      <c r="J52" s="39" t="s">
        <v>42</v>
      </c>
      <c r="K52" s="39" t="n">
        <v>4</v>
      </c>
    </row>
    <row r="53" customFormat="false" ht="15" hidden="false" customHeight="false" outlineLevel="0" collapsed="false">
      <c r="A53" s="39" t="s">
        <v>163</v>
      </c>
      <c r="B53" s="40" t="n">
        <v>46208</v>
      </c>
      <c r="C53" s="39" t="s">
        <v>50</v>
      </c>
      <c r="D53" s="39" t="s">
        <v>38</v>
      </c>
      <c r="E53" s="39" t="s">
        <v>121</v>
      </c>
      <c r="F53" s="39" t="n">
        <v>1</v>
      </c>
      <c r="G53" s="41" t="n">
        <v>638</v>
      </c>
      <c r="H53" s="42" t="n">
        <f aca="false">F53*G53</f>
        <v>638</v>
      </c>
      <c r="I53" s="39" t="s">
        <v>34</v>
      </c>
      <c r="J53" s="39" t="s">
        <v>42</v>
      </c>
      <c r="K53" s="39" t="n">
        <v>4</v>
      </c>
    </row>
    <row r="54" customFormat="false" ht="15" hidden="false" customHeight="false" outlineLevel="0" collapsed="false">
      <c r="A54" s="39" t="s">
        <v>164</v>
      </c>
      <c r="B54" s="40" t="n">
        <v>46208</v>
      </c>
      <c r="C54" s="39" t="s">
        <v>48</v>
      </c>
      <c r="D54" s="39" t="s">
        <v>35</v>
      </c>
      <c r="E54" s="39" t="s">
        <v>95</v>
      </c>
      <c r="F54" s="39" t="n">
        <v>1</v>
      </c>
      <c r="G54" s="41" t="n">
        <v>608</v>
      </c>
      <c r="H54" s="42" t="n">
        <f aca="false">F54*G54</f>
        <v>608</v>
      </c>
      <c r="I54" s="39" t="s">
        <v>34</v>
      </c>
      <c r="J54" s="39" t="s">
        <v>42</v>
      </c>
      <c r="K54" s="39" t="n">
        <v>3</v>
      </c>
    </row>
    <row r="55" customFormat="false" ht="15" hidden="false" customHeight="false" outlineLevel="0" collapsed="false">
      <c r="A55" s="39" t="s">
        <v>165</v>
      </c>
      <c r="B55" s="40" t="n">
        <v>46208</v>
      </c>
      <c r="C55" s="39" t="s">
        <v>51</v>
      </c>
      <c r="D55" s="39" t="s">
        <v>37</v>
      </c>
      <c r="E55" s="39" t="s">
        <v>97</v>
      </c>
      <c r="F55" s="39" t="n">
        <v>1</v>
      </c>
      <c r="G55" s="41" t="n">
        <v>208</v>
      </c>
      <c r="H55" s="42" t="n">
        <f aca="false">F55*G55</f>
        <v>208</v>
      </c>
      <c r="I55" s="39" t="s">
        <v>34</v>
      </c>
      <c r="J55" s="39" t="s">
        <v>42</v>
      </c>
      <c r="K55" s="39" t="n">
        <v>5</v>
      </c>
    </row>
    <row r="56" customFormat="false" ht="15" hidden="false" customHeight="false" outlineLevel="0" collapsed="false">
      <c r="A56" s="39" t="s">
        <v>166</v>
      </c>
      <c r="B56" s="40" t="n">
        <v>46208</v>
      </c>
      <c r="C56" s="39" t="s">
        <v>51</v>
      </c>
      <c r="D56" s="39" t="s">
        <v>39</v>
      </c>
      <c r="E56" s="39" t="s">
        <v>99</v>
      </c>
      <c r="F56" s="39" t="n">
        <v>2</v>
      </c>
      <c r="G56" s="41" t="n">
        <v>588</v>
      </c>
      <c r="H56" s="42" t="n">
        <f aca="false">F56*G56</f>
        <v>1176</v>
      </c>
      <c r="I56" s="39" t="s">
        <v>36</v>
      </c>
      <c r="J56" s="39" t="s">
        <v>42</v>
      </c>
      <c r="K56" s="39" t="n">
        <v>2</v>
      </c>
    </row>
    <row r="57" customFormat="false" ht="15" hidden="false" customHeight="false" outlineLevel="0" collapsed="false">
      <c r="A57" s="39" t="s">
        <v>167</v>
      </c>
      <c r="B57" s="40" t="n">
        <v>46208</v>
      </c>
      <c r="C57" s="39" t="s">
        <v>49</v>
      </c>
      <c r="D57" s="39" t="s">
        <v>39</v>
      </c>
      <c r="E57" s="39" t="s">
        <v>99</v>
      </c>
      <c r="F57" s="39" t="n">
        <v>1</v>
      </c>
      <c r="G57" s="41" t="n">
        <v>948</v>
      </c>
      <c r="H57" s="42" t="n">
        <f aca="false">F57*G57</f>
        <v>948</v>
      </c>
      <c r="I57" s="39" t="s">
        <v>34</v>
      </c>
      <c r="J57" s="39" t="s">
        <v>42</v>
      </c>
      <c r="K57" s="39" t="n">
        <v>3</v>
      </c>
    </row>
    <row r="58" customFormat="false" ht="15" hidden="false" customHeight="false" outlineLevel="0" collapsed="false">
      <c r="A58" s="39" t="s">
        <v>168</v>
      </c>
      <c r="B58" s="40" t="n">
        <v>46208</v>
      </c>
      <c r="C58" s="39" t="s">
        <v>53</v>
      </c>
      <c r="D58" s="39" t="s">
        <v>38</v>
      </c>
      <c r="E58" s="39" t="s">
        <v>121</v>
      </c>
      <c r="F58" s="39" t="n">
        <v>1</v>
      </c>
      <c r="G58" s="41" t="n">
        <v>738</v>
      </c>
      <c r="H58" s="42" t="n">
        <f aca="false">F58*G58</f>
        <v>738</v>
      </c>
      <c r="I58" s="39" t="s">
        <v>36</v>
      </c>
      <c r="J58" s="39" t="s">
        <v>42</v>
      </c>
      <c r="K58" s="39" t="n">
        <v>4</v>
      </c>
    </row>
    <row r="59" customFormat="false" ht="15" hidden="false" customHeight="false" outlineLevel="0" collapsed="false">
      <c r="A59" s="39" t="s">
        <v>169</v>
      </c>
      <c r="B59" s="40" t="n">
        <v>46208</v>
      </c>
      <c r="C59" s="39" t="s">
        <v>51</v>
      </c>
      <c r="D59" s="39" t="s">
        <v>35</v>
      </c>
      <c r="E59" s="39" t="s">
        <v>159</v>
      </c>
      <c r="F59" s="39" t="n">
        <v>2</v>
      </c>
      <c r="G59" s="41" t="n">
        <v>768</v>
      </c>
      <c r="H59" s="42" t="n">
        <f aca="false">F59*G59</f>
        <v>1536</v>
      </c>
      <c r="I59" s="39" t="s">
        <v>34</v>
      </c>
      <c r="J59" s="39" t="s">
        <v>42</v>
      </c>
      <c r="K59" s="39" t="n">
        <v>5</v>
      </c>
    </row>
    <row r="60" customFormat="false" ht="15" hidden="false" customHeight="false" outlineLevel="0" collapsed="false">
      <c r="A60" s="39" t="s">
        <v>170</v>
      </c>
      <c r="B60" s="40" t="n">
        <v>46208</v>
      </c>
      <c r="C60" s="39" t="s">
        <v>52</v>
      </c>
      <c r="D60" s="39" t="s">
        <v>33</v>
      </c>
      <c r="E60" s="39" t="s">
        <v>114</v>
      </c>
      <c r="F60" s="39" t="n">
        <v>1</v>
      </c>
      <c r="G60" s="41" t="n">
        <v>838</v>
      </c>
      <c r="H60" s="42" t="n">
        <f aca="false">F60*G60</f>
        <v>838</v>
      </c>
      <c r="I60" s="39" t="s">
        <v>34</v>
      </c>
      <c r="J60" s="39" t="s">
        <v>42</v>
      </c>
      <c r="K60" s="39" t="n">
        <v>5</v>
      </c>
    </row>
    <row r="61" customFormat="false" ht="15" hidden="false" customHeight="false" outlineLevel="0" collapsed="false">
      <c r="A61" s="39" t="s">
        <v>171</v>
      </c>
      <c r="B61" s="40" t="n">
        <v>46209</v>
      </c>
      <c r="C61" s="39" t="s">
        <v>49</v>
      </c>
      <c r="D61" s="39" t="s">
        <v>39</v>
      </c>
      <c r="E61" s="39" t="s">
        <v>129</v>
      </c>
      <c r="F61" s="39" t="n">
        <v>1</v>
      </c>
      <c r="G61" s="41" t="n">
        <v>1198</v>
      </c>
      <c r="H61" s="42" t="n">
        <f aca="false">F61*G61</f>
        <v>1198</v>
      </c>
      <c r="I61" s="39" t="s">
        <v>34</v>
      </c>
      <c r="J61" s="39" t="s">
        <v>42</v>
      </c>
      <c r="K61" s="39" t="n">
        <v>2</v>
      </c>
    </row>
    <row r="62" customFormat="false" ht="15" hidden="false" customHeight="false" outlineLevel="0" collapsed="false">
      <c r="A62" s="39" t="s">
        <v>172</v>
      </c>
      <c r="B62" s="40" t="n">
        <v>46209</v>
      </c>
      <c r="C62" s="39" t="s">
        <v>109</v>
      </c>
      <c r="D62" s="39" t="s">
        <v>35</v>
      </c>
      <c r="E62" s="39" t="s">
        <v>95</v>
      </c>
      <c r="F62" s="39" t="n">
        <v>1</v>
      </c>
      <c r="G62" s="41" t="n">
        <v>448</v>
      </c>
      <c r="H62" s="42" t="n">
        <f aca="false">F62*G62</f>
        <v>448</v>
      </c>
      <c r="I62" s="39" t="s">
        <v>36</v>
      </c>
      <c r="J62" s="39" t="s">
        <v>42</v>
      </c>
      <c r="K62" s="39" t="n">
        <v>3</v>
      </c>
    </row>
    <row r="63" customFormat="false" ht="15" hidden="false" customHeight="false" outlineLevel="0" collapsed="false">
      <c r="A63" s="39" t="s">
        <v>173</v>
      </c>
      <c r="B63" s="40" t="n">
        <v>46209</v>
      </c>
      <c r="C63" s="39" t="s">
        <v>101</v>
      </c>
      <c r="D63" s="39" t="s">
        <v>35</v>
      </c>
      <c r="E63" s="39" t="s">
        <v>125</v>
      </c>
      <c r="F63" s="39" t="n">
        <v>1</v>
      </c>
      <c r="G63" s="41" t="n">
        <v>308</v>
      </c>
      <c r="H63" s="42" t="n">
        <f aca="false">F63*G63</f>
        <v>308</v>
      </c>
      <c r="I63" s="39" t="s">
        <v>34</v>
      </c>
      <c r="J63" s="39" t="s">
        <v>42</v>
      </c>
      <c r="K63" s="39" t="n">
        <v>7</v>
      </c>
    </row>
    <row r="64" customFormat="false" ht="15" hidden="false" customHeight="false" outlineLevel="0" collapsed="false">
      <c r="A64" s="39" t="s">
        <v>174</v>
      </c>
      <c r="B64" s="40" t="n">
        <v>46209</v>
      </c>
      <c r="C64" s="39" t="s">
        <v>51</v>
      </c>
      <c r="D64" s="39" t="s">
        <v>37</v>
      </c>
      <c r="E64" s="39" t="s">
        <v>131</v>
      </c>
      <c r="F64" s="39" t="n">
        <v>3</v>
      </c>
      <c r="G64" s="41" t="n">
        <v>558</v>
      </c>
      <c r="H64" s="42" t="n">
        <f aca="false">F64*G64</f>
        <v>1674</v>
      </c>
      <c r="I64" s="39" t="s">
        <v>34</v>
      </c>
      <c r="J64" s="39" t="s">
        <v>42</v>
      </c>
      <c r="K64" s="39" t="n">
        <v>2</v>
      </c>
    </row>
    <row r="65" customFormat="false" ht="15" hidden="false" customHeight="false" outlineLevel="0" collapsed="false">
      <c r="A65" s="39" t="s">
        <v>175</v>
      </c>
      <c r="B65" s="40" t="n">
        <v>46209</v>
      </c>
      <c r="C65" s="39" t="s">
        <v>53</v>
      </c>
      <c r="D65" s="39" t="s">
        <v>33</v>
      </c>
      <c r="E65" s="39" t="s">
        <v>102</v>
      </c>
      <c r="F65" s="39" t="n">
        <v>2</v>
      </c>
      <c r="G65" s="41" t="n">
        <v>518</v>
      </c>
      <c r="H65" s="42" t="n">
        <f aca="false">F65*G65</f>
        <v>1036</v>
      </c>
      <c r="I65" s="39" t="s">
        <v>34</v>
      </c>
      <c r="J65" s="39" t="s">
        <v>42</v>
      </c>
      <c r="K65" s="39" t="n">
        <v>3</v>
      </c>
    </row>
    <row r="66" customFormat="false" ht="15" hidden="false" customHeight="false" outlineLevel="0" collapsed="false">
      <c r="A66" s="39" t="s">
        <v>176</v>
      </c>
      <c r="B66" s="40" t="n">
        <v>46209</v>
      </c>
      <c r="C66" s="39" t="s">
        <v>52</v>
      </c>
      <c r="D66" s="39" t="s">
        <v>38</v>
      </c>
      <c r="E66" s="39" t="s">
        <v>121</v>
      </c>
      <c r="F66" s="39" t="n">
        <v>2</v>
      </c>
      <c r="G66" s="41" t="n">
        <v>578</v>
      </c>
      <c r="H66" s="42" t="n">
        <f aca="false">F66*G66</f>
        <v>1156</v>
      </c>
      <c r="I66" s="39" t="s">
        <v>34</v>
      </c>
      <c r="J66" s="39" t="s">
        <v>43</v>
      </c>
      <c r="K66" s="39" t="n">
        <v>4</v>
      </c>
    </row>
    <row r="67" customFormat="false" ht="15" hidden="false" customHeight="false" outlineLevel="0" collapsed="false">
      <c r="A67" s="39" t="s">
        <v>177</v>
      </c>
      <c r="B67" s="40" t="n">
        <v>46209</v>
      </c>
      <c r="C67" s="39" t="s">
        <v>53</v>
      </c>
      <c r="D67" s="39" t="s">
        <v>33</v>
      </c>
      <c r="E67" s="39" t="s">
        <v>102</v>
      </c>
      <c r="F67" s="39" t="n">
        <v>2</v>
      </c>
      <c r="G67" s="41" t="n">
        <v>798</v>
      </c>
      <c r="H67" s="42" t="n">
        <f aca="false">F67*G67</f>
        <v>1596</v>
      </c>
      <c r="I67" s="39" t="s">
        <v>34</v>
      </c>
      <c r="J67" s="39" t="s">
        <v>42</v>
      </c>
      <c r="K67" s="39" t="n">
        <v>2</v>
      </c>
    </row>
    <row r="68" customFormat="false" ht="15" hidden="false" customHeight="false" outlineLevel="0" collapsed="false">
      <c r="A68" s="39" t="s">
        <v>178</v>
      </c>
      <c r="B68" s="40" t="n">
        <v>46209</v>
      </c>
      <c r="C68" s="39" t="s">
        <v>50</v>
      </c>
      <c r="D68" s="39" t="s">
        <v>38</v>
      </c>
      <c r="E68" s="39" t="s">
        <v>110</v>
      </c>
      <c r="F68" s="39" t="n">
        <v>1</v>
      </c>
      <c r="G68" s="41" t="n">
        <v>518</v>
      </c>
      <c r="H68" s="42" t="n">
        <f aca="false">F68*G68</f>
        <v>518</v>
      </c>
      <c r="I68" s="39" t="s">
        <v>36</v>
      </c>
      <c r="J68" s="39" t="s">
        <v>42</v>
      </c>
      <c r="K68" s="39" t="n">
        <v>2</v>
      </c>
    </row>
    <row r="69" customFormat="false" ht="15" hidden="false" customHeight="false" outlineLevel="0" collapsed="false">
      <c r="A69" s="39" t="s">
        <v>179</v>
      </c>
      <c r="B69" s="40" t="n">
        <v>46209</v>
      </c>
      <c r="C69" s="39" t="s">
        <v>51</v>
      </c>
      <c r="D69" s="39" t="s">
        <v>33</v>
      </c>
      <c r="E69" s="39" t="s">
        <v>136</v>
      </c>
      <c r="F69" s="39" t="n">
        <v>1</v>
      </c>
      <c r="G69" s="41" t="n">
        <v>548</v>
      </c>
      <c r="H69" s="42" t="n">
        <f aca="false">F69*G69</f>
        <v>548</v>
      </c>
      <c r="I69" s="39" t="s">
        <v>34</v>
      </c>
      <c r="J69" s="39" t="s">
        <v>42</v>
      </c>
      <c r="K69" s="39" t="n">
        <v>5</v>
      </c>
    </row>
    <row r="70" customFormat="false" ht="15" hidden="false" customHeight="false" outlineLevel="0" collapsed="false">
      <c r="A70" s="39" t="s">
        <v>180</v>
      </c>
      <c r="B70" s="40" t="n">
        <v>46209</v>
      </c>
      <c r="C70" s="39" t="s">
        <v>51</v>
      </c>
      <c r="D70" s="39" t="s">
        <v>39</v>
      </c>
      <c r="E70" s="39" t="s">
        <v>129</v>
      </c>
      <c r="F70" s="39" t="n">
        <v>1</v>
      </c>
      <c r="G70" s="41" t="n">
        <v>748</v>
      </c>
      <c r="H70" s="42" t="n">
        <f aca="false">F70*G70</f>
        <v>748</v>
      </c>
      <c r="I70" s="39" t="s">
        <v>34</v>
      </c>
      <c r="J70" s="39" t="s">
        <v>42</v>
      </c>
      <c r="K70" s="39" t="n">
        <v>3</v>
      </c>
    </row>
    <row r="71" customFormat="false" ht="15" hidden="false" customHeight="false" outlineLevel="0" collapsed="false">
      <c r="A71" s="39" t="s">
        <v>181</v>
      </c>
      <c r="B71" s="40" t="n">
        <v>46209</v>
      </c>
      <c r="C71" s="39" t="s">
        <v>48</v>
      </c>
      <c r="D71" s="39" t="s">
        <v>38</v>
      </c>
      <c r="E71" s="39" t="s">
        <v>121</v>
      </c>
      <c r="F71" s="39" t="n">
        <v>1</v>
      </c>
      <c r="G71" s="41" t="n">
        <v>698</v>
      </c>
      <c r="H71" s="42" t="n">
        <f aca="false">F71*G71</f>
        <v>698</v>
      </c>
      <c r="I71" s="39" t="s">
        <v>36</v>
      </c>
      <c r="J71" s="39" t="s">
        <v>42</v>
      </c>
      <c r="K71" s="39" t="n">
        <v>7</v>
      </c>
    </row>
    <row r="72" customFormat="false" ht="15" hidden="false" customHeight="false" outlineLevel="0" collapsed="false">
      <c r="A72" s="39" t="s">
        <v>182</v>
      </c>
      <c r="B72" s="40" t="n">
        <v>46209</v>
      </c>
      <c r="C72" s="39" t="s">
        <v>52</v>
      </c>
      <c r="D72" s="39" t="s">
        <v>37</v>
      </c>
      <c r="E72" s="39" t="s">
        <v>131</v>
      </c>
      <c r="F72" s="39" t="n">
        <v>1</v>
      </c>
      <c r="G72" s="41" t="n">
        <v>228</v>
      </c>
      <c r="H72" s="42" t="n">
        <f aca="false">F72*G72</f>
        <v>228</v>
      </c>
      <c r="I72" s="39" t="s">
        <v>34</v>
      </c>
      <c r="J72" s="39" t="s">
        <v>42</v>
      </c>
      <c r="K72" s="39" t="n">
        <v>3</v>
      </c>
    </row>
    <row r="73" customFormat="false" ht="15" hidden="false" customHeight="false" outlineLevel="0" collapsed="false">
      <c r="A73" s="39" t="s">
        <v>183</v>
      </c>
      <c r="B73" s="40" t="n">
        <v>46209</v>
      </c>
      <c r="C73" s="39" t="s">
        <v>49</v>
      </c>
      <c r="D73" s="39" t="s">
        <v>37</v>
      </c>
      <c r="E73" s="39" t="s">
        <v>131</v>
      </c>
      <c r="F73" s="39" t="n">
        <v>1</v>
      </c>
      <c r="G73" s="41" t="n">
        <v>368</v>
      </c>
      <c r="H73" s="42" t="n">
        <f aca="false">F73*G73</f>
        <v>368</v>
      </c>
      <c r="I73" s="39" t="s">
        <v>34</v>
      </c>
      <c r="J73" s="39" t="s">
        <v>42</v>
      </c>
      <c r="K73" s="39" t="n">
        <v>3</v>
      </c>
    </row>
    <row r="74" customFormat="false" ht="15" hidden="false" customHeight="false" outlineLevel="0" collapsed="false">
      <c r="A74" s="39" t="s">
        <v>184</v>
      </c>
      <c r="B74" s="40" t="n">
        <v>46209</v>
      </c>
      <c r="C74" s="39" t="s">
        <v>50</v>
      </c>
      <c r="D74" s="39" t="s">
        <v>37</v>
      </c>
      <c r="E74" s="39" t="s">
        <v>97</v>
      </c>
      <c r="F74" s="39" t="n">
        <v>1</v>
      </c>
      <c r="G74" s="41" t="n">
        <v>298</v>
      </c>
      <c r="H74" s="42" t="n">
        <f aca="false">F74*G74</f>
        <v>298</v>
      </c>
      <c r="I74" s="39" t="s">
        <v>34</v>
      </c>
      <c r="J74" s="39" t="s">
        <v>42</v>
      </c>
      <c r="K74" s="39" t="n">
        <v>3</v>
      </c>
    </row>
    <row r="75" customFormat="false" ht="15" hidden="false" customHeight="false" outlineLevel="0" collapsed="false">
      <c r="A75" s="39" t="s">
        <v>185</v>
      </c>
      <c r="B75" s="40" t="n">
        <v>46210</v>
      </c>
      <c r="C75" s="39" t="s">
        <v>50</v>
      </c>
      <c r="D75" s="39" t="s">
        <v>35</v>
      </c>
      <c r="E75" s="39" t="s">
        <v>159</v>
      </c>
      <c r="F75" s="39" t="n">
        <v>1</v>
      </c>
      <c r="G75" s="41" t="n">
        <v>278</v>
      </c>
      <c r="H75" s="42" t="n">
        <f aca="false">F75*G75</f>
        <v>278</v>
      </c>
      <c r="I75" s="39" t="s">
        <v>34</v>
      </c>
      <c r="J75" s="39" t="s">
        <v>42</v>
      </c>
      <c r="K75" s="39" t="n">
        <v>6</v>
      </c>
    </row>
    <row r="76" customFormat="false" ht="15" hidden="false" customHeight="false" outlineLevel="0" collapsed="false">
      <c r="A76" s="39" t="s">
        <v>186</v>
      </c>
      <c r="B76" s="40" t="n">
        <v>46210</v>
      </c>
      <c r="C76" s="39" t="s">
        <v>49</v>
      </c>
      <c r="D76" s="39" t="s">
        <v>35</v>
      </c>
      <c r="E76" s="39" t="s">
        <v>159</v>
      </c>
      <c r="F76" s="39" t="n">
        <v>1</v>
      </c>
      <c r="G76" s="41" t="n">
        <v>388</v>
      </c>
      <c r="H76" s="42" t="n">
        <f aca="false">F76*G76</f>
        <v>388</v>
      </c>
      <c r="I76" s="39" t="s">
        <v>36</v>
      </c>
      <c r="J76" s="39" t="s">
        <v>42</v>
      </c>
      <c r="K76" s="39" t="n">
        <v>4</v>
      </c>
    </row>
    <row r="77" customFormat="false" ht="15" hidden="false" customHeight="false" outlineLevel="0" collapsed="false">
      <c r="A77" s="39" t="s">
        <v>187</v>
      </c>
      <c r="B77" s="40" t="n">
        <v>46210</v>
      </c>
      <c r="C77" s="39" t="s">
        <v>53</v>
      </c>
      <c r="D77" s="39" t="s">
        <v>35</v>
      </c>
      <c r="E77" s="39" t="s">
        <v>125</v>
      </c>
      <c r="F77" s="39" t="n">
        <v>1</v>
      </c>
      <c r="G77" s="41" t="n">
        <v>578</v>
      </c>
      <c r="H77" s="42" t="n">
        <f aca="false">F77*G77</f>
        <v>578</v>
      </c>
      <c r="I77" s="39" t="s">
        <v>36</v>
      </c>
      <c r="J77" s="39" t="s">
        <v>42</v>
      </c>
      <c r="K77" s="39" t="n">
        <v>3</v>
      </c>
    </row>
    <row r="78" customFormat="false" ht="15" hidden="false" customHeight="false" outlineLevel="0" collapsed="false">
      <c r="A78" s="39" t="s">
        <v>188</v>
      </c>
      <c r="B78" s="40" t="n">
        <v>46210</v>
      </c>
      <c r="C78" s="39" t="s">
        <v>53</v>
      </c>
      <c r="D78" s="39" t="s">
        <v>39</v>
      </c>
      <c r="E78" s="39" t="s">
        <v>99</v>
      </c>
      <c r="F78" s="39" t="n">
        <v>1</v>
      </c>
      <c r="G78" s="41" t="n">
        <v>1168</v>
      </c>
      <c r="H78" s="42" t="n">
        <f aca="false">F78*G78</f>
        <v>1168</v>
      </c>
      <c r="I78" s="39" t="s">
        <v>36</v>
      </c>
      <c r="J78" s="39" t="s">
        <v>42</v>
      </c>
      <c r="K78" s="39" t="n">
        <v>6</v>
      </c>
    </row>
    <row r="79" customFormat="false" ht="15" hidden="false" customHeight="false" outlineLevel="0" collapsed="false">
      <c r="A79" s="39" t="s">
        <v>189</v>
      </c>
      <c r="B79" s="40" t="n">
        <v>46210</v>
      </c>
      <c r="C79" s="39" t="s">
        <v>48</v>
      </c>
      <c r="D79" s="39" t="s">
        <v>35</v>
      </c>
      <c r="E79" s="39" t="s">
        <v>125</v>
      </c>
      <c r="F79" s="39" t="n">
        <v>1</v>
      </c>
      <c r="G79" s="41" t="n">
        <v>538</v>
      </c>
      <c r="H79" s="42" t="n">
        <f aca="false">F79*G79</f>
        <v>538</v>
      </c>
      <c r="I79" s="39" t="s">
        <v>36</v>
      </c>
      <c r="J79" s="39" t="s">
        <v>47</v>
      </c>
      <c r="K79" s="39"/>
    </row>
    <row r="80" customFormat="false" ht="15" hidden="false" customHeight="false" outlineLevel="0" collapsed="false">
      <c r="A80" s="39" t="s">
        <v>190</v>
      </c>
      <c r="B80" s="40" t="n">
        <v>46210</v>
      </c>
      <c r="C80" s="39" t="s">
        <v>53</v>
      </c>
      <c r="D80" s="39" t="s">
        <v>33</v>
      </c>
      <c r="E80" s="39" t="s">
        <v>136</v>
      </c>
      <c r="F80" s="39" t="n">
        <v>1</v>
      </c>
      <c r="G80" s="41" t="n">
        <v>438</v>
      </c>
      <c r="H80" s="42" t="n">
        <f aca="false">F80*G80</f>
        <v>438</v>
      </c>
      <c r="I80" s="39" t="s">
        <v>36</v>
      </c>
      <c r="J80" s="39" t="s">
        <v>42</v>
      </c>
      <c r="K80" s="39" t="n">
        <v>2</v>
      </c>
    </row>
    <row r="81" customFormat="false" ht="15" hidden="false" customHeight="false" outlineLevel="0" collapsed="false">
      <c r="A81" s="39" t="s">
        <v>191</v>
      </c>
      <c r="B81" s="40" t="n">
        <v>46210</v>
      </c>
      <c r="C81" s="39" t="s">
        <v>50</v>
      </c>
      <c r="D81" s="39" t="s">
        <v>39</v>
      </c>
      <c r="E81" s="39" t="s">
        <v>99</v>
      </c>
      <c r="F81" s="39" t="n">
        <v>1</v>
      </c>
      <c r="G81" s="41" t="n">
        <v>738</v>
      </c>
      <c r="H81" s="42" t="n">
        <f aca="false">F81*G81</f>
        <v>738</v>
      </c>
      <c r="I81" s="39" t="s">
        <v>36</v>
      </c>
      <c r="J81" s="39" t="s">
        <v>42</v>
      </c>
      <c r="K81" s="39" t="n">
        <v>5</v>
      </c>
    </row>
    <row r="82" customFormat="false" ht="15" hidden="false" customHeight="false" outlineLevel="0" collapsed="false">
      <c r="A82" s="39" t="s">
        <v>192</v>
      </c>
      <c r="B82" s="40" t="n">
        <v>46210</v>
      </c>
      <c r="C82" s="39" t="s">
        <v>50</v>
      </c>
      <c r="D82" s="39" t="s">
        <v>35</v>
      </c>
      <c r="E82" s="39" t="s">
        <v>95</v>
      </c>
      <c r="F82" s="39" t="n">
        <v>1</v>
      </c>
      <c r="G82" s="41" t="n">
        <v>718</v>
      </c>
      <c r="H82" s="42" t="n">
        <f aca="false">F82*G82</f>
        <v>718</v>
      </c>
      <c r="I82" s="39" t="s">
        <v>36</v>
      </c>
      <c r="J82" s="39" t="s">
        <v>42</v>
      </c>
      <c r="K82" s="39" t="n">
        <v>4</v>
      </c>
    </row>
    <row r="83" customFormat="false" ht="15" hidden="false" customHeight="false" outlineLevel="0" collapsed="false">
      <c r="A83" s="39" t="s">
        <v>193</v>
      </c>
      <c r="B83" s="40" t="n">
        <v>46210</v>
      </c>
      <c r="C83" s="39" t="s">
        <v>109</v>
      </c>
      <c r="D83" s="39" t="s">
        <v>38</v>
      </c>
      <c r="E83" s="39" t="s">
        <v>121</v>
      </c>
      <c r="F83" s="39" t="n">
        <v>1</v>
      </c>
      <c r="G83" s="41" t="n">
        <v>898</v>
      </c>
      <c r="H83" s="42" t="n">
        <f aca="false">F83*G83</f>
        <v>898</v>
      </c>
      <c r="I83" s="39" t="s">
        <v>34</v>
      </c>
      <c r="J83" s="39" t="s">
        <v>42</v>
      </c>
      <c r="K83" s="39" t="n">
        <v>4</v>
      </c>
    </row>
    <row r="84" customFormat="false" ht="15" hidden="false" customHeight="false" outlineLevel="0" collapsed="false">
      <c r="A84" s="39" t="s">
        <v>194</v>
      </c>
      <c r="B84" s="40" t="n">
        <v>46211</v>
      </c>
      <c r="C84" s="39" t="s">
        <v>52</v>
      </c>
      <c r="D84" s="39" t="s">
        <v>35</v>
      </c>
      <c r="E84" s="39" t="s">
        <v>125</v>
      </c>
      <c r="F84" s="39" t="n">
        <v>1</v>
      </c>
      <c r="G84" s="41" t="n">
        <v>578</v>
      </c>
      <c r="H84" s="42" t="n">
        <f aca="false">F84*G84</f>
        <v>578</v>
      </c>
      <c r="I84" s="39" t="s">
        <v>34</v>
      </c>
      <c r="J84" s="39" t="s">
        <v>42</v>
      </c>
      <c r="K84" s="39" t="n">
        <v>3</v>
      </c>
    </row>
    <row r="85" customFormat="false" ht="15" hidden="false" customHeight="false" outlineLevel="0" collapsed="false">
      <c r="A85" s="39" t="s">
        <v>195</v>
      </c>
      <c r="B85" s="40" t="n">
        <v>46211</v>
      </c>
      <c r="C85" s="39" t="s">
        <v>51</v>
      </c>
      <c r="D85" s="39" t="s">
        <v>38</v>
      </c>
      <c r="E85" s="39" t="s">
        <v>107</v>
      </c>
      <c r="F85" s="39" t="n">
        <v>2</v>
      </c>
      <c r="G85" s="41" t="n">
        <v>998</v>
      </c>
      <c r="H85" s="42" t="n">
        <f aca="false">F85*G85</f>
        <v>1996</v>
      </c>
      <c r="I85" s="39" t="s">
        <v>34</v>
      </c>
      <c r="J85" s="39" t="s">
        <v>42</v>
      </c>
      <c r="K85" s="39" t="n">
        <v>3</v>
      </c>
    </row>
    <row r="86" customFormat="false" ht="15" hidden="false" customHeight="false" outlineLevel="0" collapsed="false">
      <c r="A86" s="39" t="s">
        <v>196</v>
      </c>
      <c r="B86" s="40" t="n">
        <v>46211</v>
      </c>
      <c r="C86" s="39" t="s">
        <v>52</v>
      </c>
      <c r="D86" s="39" t="s">
        <v>33</v>
      </c>
      <c r="E86" s="39" t="s">
        <v>114</v>
      </c>
      <c r="F86" s="39" t="n">
        <v>1</v>
      </c>
      <c r="G86" s="41" t="n">
        <v>778</v>
      </c>
      <c r="H86" s="42" t="n">
        <f aca="false">F86*G86</f>
        <v>778</v>
      </c>
      <c r="I86" s="39" t="s">
        <v>36</v>
      </c>
      <c r="J86" s="39" t="s">
        <v>42</v>
      </c>
      <c r="K86" s="39" t="n">
        <v>5</v>
      </c>
    </row>
    <row r="87" customFormat="false" ht="15" hidden="false" customHeight="false" outlineLevel="0" collapsed="false">
      <c r="A87" s="39" t="s">
        <v>197</v>
      </c>
      <c r="B87" s="40" t="n">
        <v>46211</v>
      </c>
      <c r="C87" s="39" t="s">
        <v>52</v>
      </c>
      <c r="D87" s="39" t="s">
        <v>39</v>
      </c>
      <c r="E87" s="39" t="s">
        <v>129</v>
      </c>
      <c r="F87" s="39" t="n">
        <v>1</v>
      </c>
      <c r="G87" s="41" t="n">
        <v>958</v>
      </c>
      <c r="H87" s="42" t="n">
        <f aca="false">F87*G87</f>
        <v>958</v>
      </c>
      <c r="I87" s="39" t="s">
        <v>34</v>
      </c>
      <c r="J87" s="39" t="s">
        <v>43</v>
      </c>
      <c r="K87" s="39" t="n">
        <v>3</v>
      </c>
    </row>
    <row r="88" customFormat="false" ht="15" hidden="false" customHeight="false" outlineLevel="0" collapsed="false">
      <c r="A88" s="39" t="s">
        <v>198</v>
      </c>
      <c r="B88" s="40" t="n">
        <v>46211</v>
      </c>
      <c r="C88" s="39" t="s">
        <v>53</v>
      </c>
      <c r="D88" s="39" t="s">
        <v>35</v>
      </c>
      <c r="E88" s="39" t="s">
        <v>95</v>
      </c>
      <c r="F88" s="39" t="n">
        <v>1</v>
      </c>
      <c r="G88" s="41" t="n">
        <v>768</v>
      </c>
      <c r="H88" s="42" t="n">
        <f aca="false">F88*G88</f>
        <v>768</v>
      </c>
      <c r="I88" s="39" t="s">
        <v>34</v>
      </c>
      <c r="J88" s="39" t="s">
        <v>42</v>
      </c>
      <c r="K88" s="39" t="n">
        <v>5</v>
      </c>
    </row>
    <row r="89" customFormat="false" ht="15" hidden="false" customHeight="false" outlineLevel="0" collapsed="false">
      <c r="A89" s="39" t="s">
        <v>199</v>
      </c>
      <c r="B89" s="40" t="n">
        <v>46211</v>
      </c>
      <c r="C89" s="39" t="s">
        <v>50</v>
      </c>
      <c r="D89" s="39" t="s">
        <v>37</v>
      </c>
      <c r="E89" s="39" t="s">
        <v>97</v>
      </c>
      <c r="F89" s="39" t="n">
        <v>1</v>
      </c>
      <c r="G89" s="41" t="n">
        <v>248</v>
      </c>
      <c r="H89" s="42" t="n">
        <f aca="false">F89*G89</f>
        <v>248</v>
      </c>
      <c r="I89" s="39" t="s">
        <v>34</v>
      </c>
      <c r="J89" s="39" t="s">
        <v>42</v>
      </c>
      <c r="K89" s="39" t="n">
        <v>2</v>
      </c>
    </row>
    <row r="90" customFormat="false" ht="15" hidden="false" customHeight="false" outlineLevel="0" collapsed="false">
      <c r="A90" s="39" t="s">
        <v>200</v>
      </c>
      <c r="B90" s="40" t="n">
        <v>46211</v>
      </c>
      <c r="C90" s="39" t="s">
        <v>53</v>
      </c>
      <c r="D90" s="39" t="s">
        <v>37</v>
      </c>
      <c r="E90" s="39" t="s">
        <v>131</v>
      </c>
      <c r="F90" s="39" t="n">
        <v>1</v>
      </c>
      <c r="G90" s="41" t="n">
        <v>268</v>
      </c>
      <c r="H90" s="42" t="n">
        <f aca="false">F90*G90</f>
        <v>268</v>
      </c>
      <c r="I90" s="39" t="s">
        <v>34</v>
      </c>
      <c r="J90" s="39" t="s">
        <v>42</v>
      </c>
      <c r="K90" s="39" t="n">
        <v>4</v>
      </c>
    </row>
    <row r="91" customFormat="false" ht="15" hidden="false" customHeight="false" outlineLevel="0" collapsed="false">
      <c r="A91" s="39" t="s">
        <v>201</v>
      </c>
      <c r="B91" s="40" t="n">
        <v>46211</v>
      </c>
      <c r="C91" s="39" t="s">
        <v>109</v>
      </c>
      <c r="D91" s="39" t="s">
        <v>35</v>
      </c>
      <c r="E91" s="39" t="s">
        <v>95</v>
      </c>
      <c r="F91" s="39" t="n">
        <v>1</v>
      </c>
      <c r="G91" s="41" t="n">
        <v>318</v>
      </c>
      <c r="H91" s="42" t="n">
        <f aca="false">F91*G91</f>
        <v>318</v>
      </c>
      <c r="I91" s="39" t="s">
        <v>36</v>
      </c>
      <c r="J91" s="39" t="s">
        <v>42</v>
      </c>
      <c r="K91" s="39" t="n">
        <v>3</v>
      </c>
    </row>
    <row r="92" customFormat="false" ht="15" hidden="false" customHeight="false" outlineLevel="0" collapsed="false">
      <c r="A92" s="39" t="s">
        <v>202</v>
      </c>
      <c r="B92" s="40" t="n">
        <v>46212</v>
      </c>
      <c r="C92" s="39" t="s">
        <v>49</v>
      </c>
      <c r="D92" s="39" t="s">
        <v>33</v>
      </c>
      <c r="E92" s="39" t="s">
        <v>114</v>
      </c>
      <c r="F92" s="39" t="n">
        <v>1</v>
      </c>
      <c r="G92" s="41" t="n">
        <v>628</v>
      </c>
      <c r="H92" s="42" t="n">
        <f aca="false">F92*G92</f>
        <v>628</v>
      </c>
      <c r="I92" s="39" t="s">
        <v>34</v>
      </c>
      <c r="J92" s="39" t="s">
        <v>42</v>
      </c>
      <c r="K92" s="39" t="n">
        <v>4</v>
      </c>
    </row>
    <row r="93" customFormat="false" ht="15" hidden="false" customHeight="false" outlineLevel="0" collapsed="false">
      <c r="A93" s="39" t="s">
        <v>203</v>
      </c>
      <c r="B93" s="40" t="n">
        <v>46212</v>
      </c>
      <c r="C93" s="39" t="s">
        <v>52</v>
      </c>
      <c r="D93" s="39" t="s">
        <v>35</v>
      </c>
      <c r="E93" s="39" t="s">
        <v>125</v>
      </c>
      <c r="F93" s="39" t="n">
        <v>1</v>
      </c>
      <c r="G93" s="41" t="n">
        <v>678</v>
      </c>
      <c r="H93" s="42" t="n">
        <f aca="false">F93*G93</f>
        <v>678</v>
      </c>
      <c r="I93" s="39" t="s">
        <v>34</v>
      </c>
      <c r="J93" s="39" t="s">
        <v>42</v>
      </c>
      <c r="K93" s="39" t="n">
        <v>4</v>
      </c>
    </row>
    <row r="94" customFormat="false" ht="15" hidden="false" customHeight="false" outlineLevel="0" collapsed="false">
      <c r="A94" s="39" t="s">
        <v>204</v>
      </c>
      <c r="B94" s="40" t="n">
        <v>46212</v>
      </c>
      <c r="C94" s="39" t="s">
        <v>49</v>
      </c>
      <c r="D94" s="39" t="s">
        <v>37</v>
      </c>
      <c r="E94" s="39" t="s">
        <v>97</v>
      </c>
      <c r="F94" s="39" t="n">
        <v>1</v>
      </c>
      <c r="G94" s="41" t="n">
        <v>208</v>
      </c>
      <c r="H94" s="42" t="n">
        <f aca="false">F94*G94</f>
        <v>208</v>
      </c>
      <c r="I94" s="39" t="s">
        <v>36</v>
      </c>
      <c r="J94" s="39" t="s">
        <v>43</v>
      </c>
      <c r="K94" s="39" t="n">
        <v>2</v>
      </c>
    </row>
    <row r="95" customFormat="false" ht="15" hidden="false" customHeight="false" outlineLevel="0" collapsed="false">
      <c r="A95" s="39" t="s">
        <v>205</v>
      </c>
      <c r="B95" s="40" t="n">
        <v>46212</v>
      </c>
      <c r="C95" s="39" t="s">
        <v>51</v>
      </c>
      <c r="D95" s="39" t="s">
        <v>35</v>
      </c>
      <c r="E95" s="39" t="s">
        <v>159</v>
      </c>
      <c r="F95" s="39" t="n">
        <v>2</v>
      </c>
      <c r="G95" s="41" t="n">
        <v>668</v>
      </c>
      <c r="H95" s="42" t="n">
        <f aca="false">F95*G95</f>
        <v>1336</v>
      </c>
      <c r="I95" s="39" t="s">
        <v>34</v>
      </c>
      <c r="J95" s="39" t="s">
        <v>42</v>
      </c>
      <c r="K95" s="39" t="n">
        <v>4</v>
      </c>
    </row>
    <row r="96" customFormat="false" ht="15" hidden="false" customHeight="false" outlineLevel="0" collapsed="false">
      <c r="A96" s="39" t="s">
        <v>206</v>
      </c>
      <c r="B96" s="40" t="n">
        <v>46212</v>
      </c>
      <c r="C96" s="39" t="s">
        <v>50</v>
      </c>
      <c r="D96" s="39" t="s">
        <v>35</v>
      </c>
      <c r="E96" s="39" t="s">
        <v>159</v>
      </c>
      <c r="F96" s="39" t="n">
        <v>3</v>
      </c>
      <c r="G96" s="41" t="n">
        <v>618</v>
      </c>
      <c r="H96" s="42" t="n">
        <f aca="false">F96*G96</f>
        <v>1854</v>
      </c>
      <c r="I96" s="39" t="s">
        <v>36</v>
      </c>
      <c r="J96" s="39" t="s">
        <v>42</v>
      </c>
      <c r="K96" s="39" t="n">
        <v>2</v>
      </c>
    </row>
    <row r="97" customFormat="false" ht="15" hidden="false" customHeight="false" outlineLevel="0" collapsed="false">
      <c r="A97" s="39" t="s">
        <v>207</v>
      </c>
      <c r="B97" s="40" t="n">
        <v>46212</v>
      </c>
      <c r="C97" s="39" t="s">
        <v>51</v>
      </c>
      <c r="D97" s="39" t="s">
        <v>33</v>
      </c>
      <c r="E97" s="39" t="s">
        <v>136</v>
      </c>
      <c r="F97" s="39" t="n">
        <v>1</v>
      </c>
      <c r="G97" s="41" t="n">
        <v>398</v>
      </c>
      <c r="H97" s="42" t="n">
        <f aca="false">F97*G97</f>
        <v>398</v>
      </c>
      <c r="I97" s="39" t="s">
        <v>36</v>
      </c>
      <c r="J97" s="39" t="s">
        <v>42</v>
      </c>
      <c r="K97" s="39" t="n">
        <v>3</v>
      </c>
    </row>
    <row r="98" customFormat="false" ht="15" hidden="false" customHeight="false" outlineLevel="0" collapsed="false">
      <c r="A98" s="39" t="s">
        <v>208</v>
      </c>
      <c r="B98" s="40" t="n">
        <v>46213</v>
      </c>
      <c r="C98" s="39" t="s">
        <v>53</v>
      </c>
      <c r="D98" s="39" t="s">
        <v>37</v>
      </c>
      <c r="E98" s="39" t="s">
        <v>131</v>
      </c>
      <c r="F98" s="39" t="n">
        <v>1</v>
      </c>
      <c r="G98" s="41" t="n">
        <v>348</v>
      </c>
      <c r="H98" s="42" t="n">
        <f aca="false">F98*G98</f>
        <v>348</v>
      </c>
      <c r="I98" s="39" t="s">
        <v>34</v>
      </c>
      <c r="J98" s="39" t="s">
        <v>42</v>
      </c>
      <c r="K98" s="39" t="n">
        <v>2</v>
      </c>
    </row>
    <row r="99" customFormat="false" ht="15" hidden="false" customHeight="false" outlineLevel="0" collapsed="false">
      <c r="A99" s="39" t="s">
        <v>209</v>
      </c>
      <c r="B99" s="40" t="n">
        <v>46213</v>
      </c>
      <c r="C99" s="39" t="s">
        <v>101</v>
      </c>
      <c r="D99" s="39" t="s">
        <v>38</v>
      </c>
      <c r="E99" s="39" t="s">
        <v>107</v>
      </c>
      <c r="F99" s="39" t="n">
        <v>1</v>
      </c>
      <c r="G99" s="41" t="n">
        <v>898</v>
      </c>
      <c r="H99" s="42" t="n">
        <f aca="false">F99*G99</f>
        <v>898</v>
      </c>
      <c r="I99" s="39" t="s">
        <v>34</v>
      </c>
      <c r="J99" s="39" t="s">
        <v>42</v>
      </c>
      <c r="K99" s="39" t="n">
        <v>4</v>
      </c>
    </row>
    <row r="100" customFormat="false" ht="15" hidden="false" customHeight="false" outlineLevel="0" collapsed="false">
      <c r="A100" s="39" t="s">
        <v>210</v>
      </c>
      <c r="B100" s="40" t="n">
        <v>46213</v>
      </c>
      <c r="C100" s="39" t="s">
        <v>49</v>
      </c>
      <c r="D100" s="39" t="s">
        <v>38</v>
      </c>
      <c r="E100" s="39" t="s">
        <v>107</v>
      </c>
      <c r="F100" s="39" t="n">
        <v>1</v>
      </c>
      <c r="G100" s="41" t="n">
        <v>828</v>
      </c>
      <c r="H100" s="42" t="n">
        <f aca="false">F100*G100</f>
        <v>828</v>
      </c>
      <c r="I100" s="39" t="s">
        <v>36</v>
      </c>
      <c r="J100" s="39" t="s">
        <v>42</v>
      </c>
      <c r="K100" s="39" t="n">
        <v>6</v>
      </c>
    </row>
    <row r="101" customFormat="false" ht="15" hidden="false" customHeight="false" outlineLevel="0" collapsed="false">
      <c r="A101" s="39" t="s">
        <v>211</v>
      </c>
      <c r="B101" s="40" t="n">
        <v>46213</v>
      </c>
      <c r="C101" s="39" t="s">
        <v>49</v>
      </c>
      <c r="D101" s="39" t="s">
        <v>38</v>
      </c>
      <c r="E101" s="39" t="s">
        <v>107</v>
      </c>
      <c r="F101" s="39" t="n">
        <v>1</v>
      </c>
      <c r="G101" s="41" t="n">
        <v>908</v>
      </c>
      <c r="H101" s="42" t="n">
        <f aca="false">F101*G101</f>
        <v>908</v>
      </c>
      <c r="I101" s="39" t="s">
        <v>34</v>
      </c>
      <c r="J101" s="39" t="s">
        <v>42</v>
      </c>
      <c r="K101" s="39" t="n">
        <v>6</v>
      </c>
    </row>
    <row r="102" customFormat="false" ht="15" hidden="false" customHeight="false" outlineLevel="0" collapsed="false">
      <c r="A102" s="39" t="s">
        <v>212</v>
      </c>
      <c r="B102" s="40" t="n">
        <v>46213</v>
      </c>
      <c r="C102" s="39" t="s">
        <v>48</v>
      </c>
      <c r="D102" s="39" t="s">
        <v>37</v>
      </c>
      <c r="E102" s="39" t="s">
        <v>131</v>
      </c>
      <c r="F102" s="39" t="n">
        <v>1</v>
      </c>
      <c r="G102" s="41" t="n">
        <v>378</v>
      </c>
      <c r="H102" s="42" t="n">
        <f aca="false">F102*G102</f>
        <v>378</v>
      </c>
      <c r="I102" s="39" t="s">
        <v>34</v>
      </c>
      <c r="J102" s="39" t="s">
        <v>42</v>
      </c>
      <c r="K102" s="39" t="n">
        <v>4</v>
      </c>
    </row>
    <row r="103" customFormat="false" ht="15" hidden="false" customHeight="false" outlineLevel="0" collapsed="false">
      <c r="A103" s="39" t="s">
        <v>213</v>
      </c>
      <c r="B103" s="40" t="n">
        <v>46213</v>
      </c>
      <c r="C103" s="39" t="s">
        <v>53</v>
      </c>
      <c r="D103" s="39" t="s">
        <v>38</v>
      </c>
      <c r="E103" s="39" t="s">
        <v>107</v>
      </c>
      <c r="F103" s="39" t="n">
        <v>1</v>
      </c>
      <c r="G103" s="41" t="n">
        <v>488</v>
      </c>
      <c r="H103" s="42" t="n">
        <f aca="false">F103*G103</f>
        <v>488</v>
      </c>
      <c r="I103" s="39" t="s">
        <v>34</v>
      </c>
      <c r="J103" s="39" t="s">
        <v>42</v>
      </c>
      <c r="K103" s="39" t="n">
        <v>6</v>
      </c>
    </row>
    <row r="104" customFormat="false" ht="15" hidden="false" customHeight="false" outlineLevel="0" collapsed="false">
      <c r="A104" s="39" t="s">
        <v>214</v>
      </c>
      <c r="B104" s="40" t="n">
        <v>46213</v>
      </c>
      <c r="C104" s="39" t="s">
        <v>48</v>
      </c>
      <c r="D104" s="39" t="s">
        <v>33</v>
      </c>
      <c r="E104" s="39" t="s">
        <v>114</v>
      </c>
      <c r="F104" s="39" t="n">
        <v>2</v>
      </c>
      <c r="G104" s="41" t="n">
        <v>668</v>
      </c>
      <c r="H104" s="42" t="n">
        <f aca="false">F104*G104</f>
        <v>1336</v>
      </c>
      <c r="I104" s="39" t="s">
        <v>36</v>
      </c>
      <c r="J104" s="39" t="s">
        <v>42</v>
      </c>
      <c r="K104" s="39" t="n">
        <v>4</v>
      </c>
    </row>
    <row r="105" customFormat="false" ht="15" hidden="false" customHeight="false" outlineLevel="0" collapsed="false">
      <c r="A105" s="39" t="s">
        <v>215</v>
      </c>
      <c r="B105" s="40" t="n">
        <v>46213</v>
      </c>
      <c r="C105" s="39" t="s">
        <v>53</v>
      </c>
      <c r="D105" s="39" t="s">
        <v>39</v>
      </c>
      <c r="E105" s="39" t="s">
        <v>105</v>
      </c>
      <c r="F105" s="39" t="n">
        <v>2</v>
      </c>
      <c r="G105" s="41" t="n">
        <v>698</v>
      </c>
      <c r="H105" s="42" t="n">
        <f aca="false">F105*G105</f>
        <v>1396</v>
      </c>
      <c r="I105" s="39" t="s">
        <v>34</v>
      </c>
      <c r="J105" s="39" t="s">
        <v>42</v>
      </c>
      <c r="K105" s="39" t="n">
        <v>5</v>
      </c>
    </row>
    <row r="106" customFormat="false" ht="15" hidden="false" customHeight="false" outlineLevel="0" collapsed="false">
      <c r="A106" s="39" t="s">
        <v>216</v>
      </c>
      <c r="B106" s="40" t="n">
        <v>46213</v>
      </c>
      <c r="C106" s="39" t="s">
        <v>109</v>
      </c>
      <c r="D106" s="39" t="s">
        <v>39</v>
      </c>
      <c r="E106" s="39" t="s">
        <v>129</v>
      </c>
      <c r="F106" s="39" t="n">
        <v>1</v>
      </c>
      <c r="G106" s="41" t="n">
        <v>768</v>
      </c>
      <c r="H106" s="42" t="n">
        <f aca="false">F106*G106</f>
        <v>768</v>
      </c>
      <c r="I106" s="39" t="s">
        <v>34</v>
      </c>
      <c r="J106" s="39" t="s">
        <v>42</v>
      </c>
      <c r="K106" s="39" t="n">
        <v>5</v>
      </c>
    </row>
    <row r="107" customFormat="false" ht="15" hidden="false" customHeight="false" outlineLevel="0" collapsed="false">
      <c r="A107" s="39" t="s">
        <v>217</v>
      </c>
      <c r="B107" s="40" t="n">
        <v>46213</v>
      </c>
      <c r="C107" s="39" t="s">
        <v>52</v>
      </c>
      <c r="D107" s="39" t="s">
        <v>37</v>
      </c>
      <c r="E107" s="39" t="s">
        <v>141</v>
      </c>
      <c r="F107" s="39" t="n">
        <v>3</v>
      </c>
      <c r="G107" s="41" t="n">
        <v>208</v>
      </c>
      <c r="H107" s="42" t="n">
        <f aca="false">F107*G107</f>
        <v>624</v>
      </c>
      <c r="I107" s="39" t="s">
        <v>36</v>
      </c>
      <c r="J107" s="39" t="s">
        <v>42</v>
      </c>
      <c r="K107" s="39" t="n">
        <v>3</v>
      </c>
    </row>
    <row r="108" customFormat="false" ht="15" hidden="false" customHeight="false" outlineLevel="0" collapsed="false">
      <c r="A108" s="39" t="s">
        <v>218</v>
      </c>
      <c r="B108" s="40" t="n">
        <v>46213</v>
      </c>
      <c r="C108" s="39" t="s">
        <v>49</v>
      </c>
      <c r="D108" s="39" t="s">
        <v>35</v>
      </c>
      <c r="E108" s="39" t="s">
        <v>95</v>
      </c>
      <c r="F108" s="39" t="n">
        <v>1</v>
      </c>
      <c r="G108" s="41" t="n">
        <v>638</v>
      </c>
      <c r="H108" s="42" t="n">
        <f aca="false">F108*G108</f>
        <v>638</v>
      </c>
      <c r="I108" s="39" t="s">
        <v>34</v>
      </c>
      <c r="J108" s="39" t="s">
        <v>42</v>
      </c>
      <c r="K108" s="39" t="n">
        <v>2</v>
      </c>
    </row>
    <row r="109" customFormat="false" ht="15" hidden="false" customHeight="false" outlineLevel="0" collapsed="false">
      <c r="A109" s="39" t="s">
        <v>219</v>
      </c>
      <c r="B109" s="40" t="n">
        <v>46213</v>
      </c>
      <c r="C109" s="39" t="s">
        <v>53</v>
      </c>
      <c r="D109" s="39" t="s">
        <v>37</v>
      </c>
      <c r="E109" s="39" t="s">
        <v>131</v>
      </c>
      <c r="F109" s="39" t="n">
        <v>1</v>
      </c>
      <c r="G109" s="41" t="n">
        <v>608</v>
      </c>
      <c r="H109" s="42" t="n">
        <f aca="false">F109*G109</f>
        <v>608</v>
      </c>
      <c r="I109" s="39" t="s">
        <v>36</v>
      </c>
      <c r="J109" s="39" t="s">
        <v>42</v>
      </c>
      <c r="K109" s="39" t="n">
        <v>7</v>
      </c>
    </row>
    <row r="110" customFormat="false" ht="15" hidden="false" customHeight="false" outlineLevel="0" collapsed="false">
      <c r="A110" s="39" t="s">
        <v>220</v>
      </c>
      <c r="B110" s="40" t="n">
        <v>46214</v>
      </c>
      <c r="C110" s="39" t="s">
        <v>101</v>
      </c>
      <c r="D110" s="39" t="s">
        <v>33</v>
      </c>
      <c r="E110" s="39" t="s">
        <v>114</v>
      </c>
      <c r="F110" s="39" t="n">
        <v>1</v>
      </c>
      <c r="G110" s="41" t="n">
        <v>388</v>
      </c>
      <c r="H110" s="42" t="n">
        <f aca="false">F110*G110</f>
        <v>388</v>
      </c>
      <c r="I110" s="39" t="s">
        <v>34</v>
      </c>
      <c r="J110" s="39" t="s">
        <v>43</v>
      </c>
      <c r="K110" s="39" t="n">
        <v>5</v>
      </c>
    </row>
    <row r="111" customFormat="false" ht="15" hidden="false" customHeight="false" outlineLevel="0" collapsed="false">
      <c r="A111" s="39" t="s">
        <v>221</v>
      </c>
      <c r="B111" s="40" t="n">
        <v>46214</v>
      </c>
      <c r="C111" s="39" t="s">
        <v>101</v>
      </c>
      <c r="D111" s="39" t="s">
        <v>39</v>
      </c>
      <c r="E111" s="39" t="s">
        <v>105</v>
      </c>
      <c r="F111" s="39" t="n">
        <v>1</v>
      </c>
      <c r="G111" s="41" t="n">
        <v>708</v>
      </c>
      <c r="H111" s="42" t="n">
        <f aca="false">F111*G111</f>
        <v>708</v>
      </c>
      <c r="I111" s="39" t="s">
        <v>34</v>
      </c>
      <c r="J111" s="39" t="s">
        <v>42</v>
      </c>
      <c r="K111" s="39" t="n">
        <v>7</v>
      </c>
    </row>
    <row r="112" customFormat="false" ht="15" hidden="false" customHeight="false" outlineLevel="0" collapsed="false">
      <c r="A112" s="39" t="s">
        <v>222</v>
      </c>
      <c r="B112" s="40" t="n">
        <v>46214</v>
      </c>
      <c r="C112" s="39" t="s">
        <v>52</v>
      </c>
      <c r="D112" s="39" t="s">
        <v>35</v>
      </c>
      <c r="E112" s="39" t="s">
        <v>95</v>
      </c>
      <c r="F112" s="39" t="n">
        <v>1</v>
      </c>
      <c r="G112" s="41" t="n">
        <v>598</v>
      </c>
      <c r="H112" s="42" t="n">
        <f aca="false">F112*G112</f>
        <v>598</v>
      </c>
      <c r="I112" s="39" t="s">
        <v>36</v>
      </c>
      <c r="J112" s="39" t="s">
        <v>42</v>
      </c>
      <c r="K112" s="39" t="n">
        <v>4</v>
      </c>
    </row>
    <row r="113" customFormat="false" ht="15" hidden="false" customHeight="false" outlineLevel="0" collapsed="false">
      <c r="A113" s="39" t="s">
        <v>223</v>
      </c>
      <c r="B113" s="40" t="n">
        <v>46214</v>
      </c>
      <c r="C113" s="39" t="s">
        <v>52</v>
      </c>
      <c r="D113" s="39" t="s">
        <v>33</v>
      </c>
      <c r="E113" s="39" t="s">
        <v>114</v>
      </c>
      <c r="F113" s="39" t="n">
        <v>1</v>
      </c>
      <c r="G113" s="41" t="n">
        <v>408</v>
      </c>
      <c r="H113" s="42" t="n">
        <f aca="false">F113*G113</f>
        <v>408</v>
      </c>
      <c r="I113" s="39" t="s">
        <v>34</v>
      </c>
      <c r="J113" s="39" t="s">
        <v>42</v>
      </c>
      <c r="K113" s="39" t="n">
        <v>3</v>
      </c>
    </row>
    <row r="114" customFormat="false" ht="15" hidden="false" customHeight="false" outlineLevel="0" collapsed="false">
      <c r="A114" s="39" t="s">
        <v>224</v>
      </c>
      <c r="B114" s="40" t="n">
        <v>46214</v>
      </c>
      <c r="C114" s="39" t="s">
        <v>109</v>
      </c>
      <c r="D114" s="39" t="s">
        <v>33</v>
      </c>
      <c r="E114" s="39" t="s">
        <v>114</v>
      </c>
      <c r="F114" s="39" t="n">
        <v>3</v>
      </c>
      <c r="G114" s="41" t="n">
        <v>748</v>
      </c>
      <c r="H114" s="42" t="n">
        <f aca="false">F114*G114</f>
        <v>2244</v>
      </c>
      <c r="I114" s="39" t="s">
        <v>34</v>
      </c>
      <c r="J114" s="39" t="s">
        <v>42</v>
      </c>
      <c r="K114" s="39" t="n">
        <v>4</v>
      </c>
    </row>
    <row r="115" customFormat="false" ht="15" hidden="false" customHeight="false" outlineLevel="0" collapsed="false">
      <c r="A115" s="39" t="s">
        <v>225</v>
      </c>
      <c r="B115" s="40" t="n">
        <v>46214</v>
      </c>
      <c r="C115" s="39" t="s">
        <v>48</v>
      </c>
      <c r="D115" s="39" t="s">
        <v>35</v>
      </c>
      <c r="E115" s="39" t="s">
        <v>95</v>
      </c>
      <c r="F115" s="39" t="n">
        <v>1</v>
      </c>
      <c r="G115" s="41" t="n">
        <v>558</v>
      </c>
      <c r="H115" s="42" t="n">
        <f aca="false">F115*G115</f>
        <v>558</v>
      </c>
      <c r="I115" s="39" t="s">
        <v>36</v>
      </c>
      <c r="J115" s="39" t="s">
        <v>45</v>
      </c>
      <c r="K115" s="39"/>
    </row>
    <row r="116" customFormat="false" ht="15" hidden="false" customHeight="false" outlineLevel="0" collapsed="false">
      <c r="A116" s="39" t="s">
        <v>226</v>
      </c>
      <c r="B116" s="40" t="n">
        <v>46214</v>
      </c>
      <c r="C116" s="39" t="s">
        <v>49</v>
      </c>
      <c r="D116" s="39" t="s">
        <v>37</v>
      </c>
      <c r="E116" s="39" t="s">
        <v>141</v>
      </c>
      <c r="F116" s="39" t="n">
        <v>1</v>
      </c>
      <c r="G116" s="41" t="n">
        <v>498</v>
      </c>
      <c r="H116" s="42" t="n">
        <f aca="false">F116*G116</f>
        <v>498</v>
      </c>
      <c r="I116" s="39" t="s">
        <v>34</v>
      </c>
      <c r="J116" s="39" t="s">
        <v>42</v>
      </c>
      <c r="K116" s="39" t="n">
        <v>3</v>
      </c>
    </row>
    <row r="117" customFormat="false" ht="15" hidden="false" customHeight="false" outlineLevel="0" collapsed="false">
      <c r="A117" s="39" t="s">
        <v>227</v>
      </c>
      <c r="B117" s="40" t="n">
        <v>46214</v>
      </c>
      <c r="C117" s="39" t="s">
        <v>109</v>
      </c>
      <c r="D117" s="39" t="s">
        <v>39</v>
      </c>
      <c r="E117" s="39" t="s">
        <v>105</v>
      </c>
      <c r="F117" s="39" t="n">
        <v>2</v>
      </c>
      <c r="G117" s="41" t="n">
        <v>868</v>
      </c>
      <c r="H117" s="42" t="n">
        <f aca="false">F117*G117</f>
        <v>1736</v>
      </c>
      <c r="I117" s="39" t="s">
        <v>34</v>
      </c>
      <c r="J117" s="39" t="s">
        <v>42</v>
      </c>
      <c r="K117" s="39" t="n">
        <v>3</v>
      </c>
    </row>
    <row r="118" customFormat="false" ht="15" hidden="false" customHeight="false" outlineLevel="0" collapsed="false">
      <c r="A118" s="39" t="s">
        <v>228</v>
      </c>
      <c r="B118" s="40" t="n">
        <v>46214</v>
      </c>
      <c r="C118" s="39" t="s">
        <v>52</v>
      </c>
      <c r="D118" s="39" t="s">
        <v>39</v>
      </c>
      <c r="E118" s="39" t="s">
        <v>105</v>
      </c>
      <c r="F118" s="39" t="n">
        <v>2</v>
      </c>
      <c r="G118" s="41" t="n">
        <v>468</v>
      </c>
      <c r="H118" s="42" t="n">
        <f aca="false">F118*G118</f>
        <v>936</v>
      </c>
      <c r="I118" s="39" t="s">
        <v>34</v>
      </c>
      <c r="J118" s="39" t="s">
        <v>42</v>
      </c>
      <c r="K118" s="39" t="n">
        <v>3</v>
      </c>
    </row>
    <row r="119" customFormat="false" ht="15" hidden="false" customHeight="false" outlineLevel="0" collapsed="false">
      <c r="A119" s="39" t="s">
        <v>229</v>
      </c>
      <c r="B119" s="40" t="n">
        <v>46214</v>
      </c>
      <c r="C119" s="39" t="s">
        <v>51</v>
      </c>
      <c r="D119" s="39" t="s">
        <v>33</v>
      </c>
      <c r="E119" s="39" t="s">
        <v>117</v>
      </c>
      <c r="F119" s="39" t="n">
        <v>2</v>
      </c>
      <c r="G119" s="41" t="n">
        <v>678</v>
      </c>
      <c r="H119" s="42" t="n">
        <f aca="false">F119*G119</f>
        <v>1356</v>
      </c>
      <c r="I119" s="39" t="s">
        <v>34</v>
      </c>
      <c r="J119" s="39" t="s">
        <v>42</v>
      </c>
      <c r="K119" s="39" t="n">
        <v>3</v>
      </c>
    </row>
    <row r="120" customFormat="false" ht="15" hidden="false" customHeight="false" outlineLevel="0" collapsed="false">
      <c r="A120" s="39" t="s">
        <v>230</v>
      </c>
      <c r="B120" s="40" t="n">
        <v>46214</v>
      </c>
      <c r="C120" s="39" t="s">
        <v>101</v>
      </c>
      <c r="D120" s="39" t="s">
        <v>35</v>
      </c>
      <c r="E120" s="39" t="s">
        <v>95</v>
      </c>
      <c r="F120" s="39" t="n">
        <v>1</v>
      </c>
      <c r="G120" s="41" t="n">
        <v>428</v>
      </c>
      <c r="H120" s="42" t="n">
        <f aca="false">F120*G120</f>
        <v>428</v>
      </c>
      <c r="I120" s="39" t="s">
        <v>34</v>
      </c>
      <c r="J120" s="39" t="s">
        <v>42</v>
      </c>
      <c r="K120" s="39" t="n">
        <v>5</v>
      </c>
    </row>
    <row r="121" customFormat="false" ht="15" hidden="false" customHeight="false" outlineLevel="0" collapsed="false">
      <c r="A121" s="39" t="s">
        <v>231</v>
      </c>
      <c r="B121" s="40" t="n">
        <v>46214</v>
      </c>
      <c r="C121" s="39" t="s">
        <v>48</v>
      </c>
      <c r="D121" s="39" t="s">
        <v>33</v>
      </c>
      <c r="E121" s="39" t="s">
        <v>117</v>
      </c>
      <c r="F121" s="39" t="n">
        <v>1</v>
      </c>
      <c r="G121" s="41" t="n">
        <v>688</v>
      </c>
      <c r="H121" s="42" t="n">
        <f aca="false">F121*G121</f>
        <v>688</v>
      </c>
      <c r="I121" s="39" t="s">
        <v>36</v>
      </c>
      <c r="J121" s="39" t="s">
        <v>42</v>
      </c>
      <c r="K121" s="39" t="n">
        <v>4</v>
      </c>
    </row>
    <row r="122" customFormat="false" ht="15" hidden="false" customHeight="false" outlineLevel="0" collapsed="false">
      <c r="A122" s="39" t="s">
        <v>232</v>
      </c>
      <c r="B122" s="40" t="n">
        <v>46214</v>
      </c>
      <c r="C122" s="39" t="s">
        <v>50</v>
      </c>
      <c r="D122" s="39" t="s">
        <v>35</v>
      </c>
      <c r="E122" s="39" t="s">
        <v>159</v>
      </c>
      <c r="F122" s="39" t="n">
        <v>1</v>
      </c>
      <c r="G122" s="41" t="n">
        <v>498</v>
      </c>
      <c r="H122" s="42" t="n">
        <f aca="false">F122*G122</f>
        <v>498</v>
      </c>
      <c r="I122" s="39" t="s">
        <v>36</v>
      </c>
      <c r="J122" s="39" t="s">
        <v>42</v>
      </c>
      <c r="K122" s="39" t="n">
        <v>5</v>
      </c>
    </row>
    <row r="123" customFormat="false" ht="15" hidden="false" customHeight="false" outlineLevel="0" collapsed="false">
      <c r="A123" s="39" t="s">
        <v>233</v>
      </c>
      <c r="B123" s="40" t="n">
        <v>46214</v>
      </c>
      <c r="C123" s="39" t="s">
        <v>49</v>
      </c>
      <c r="D123" s="39" t="s">
        <v>38</v>
      </c>
      <c r="E123" s="39" t="s">
        <v>121</v>
      </c>
      <c r="F123" s="39" t="n">
        <v>1</v>
      </c>
      <c r="G123" s="41" t="n">
        <v>888</v>
      </c>
      <c r="H123" s="42" t="n">
        <f aca="false">F123*G123</f>
        <v>888</v>
      </c>
      <c r="I123" s="39" t="s">
        <v>34</v>
      </c>
      <c r="J123" s="39" t="s">
        <v>42</v>
      </c>
      <c r="K123" s="39" t="n">
        <v>4</v>
      </c>
    </row>
    <row r="124" customFormat="false" ht="15" hidden="false" customHeight="false" outlineLevel="0" collapsed="false">
      <c r="A124" s="39" t="s">
        <v>234</v>
      </c>
      <c r="B124" s="40" t="n">
        <v>46214</v>
      </c>
      <c r="C124" s="39" t="s">
        <v>109</v>
      </c>
      <c r="D124" s="39" t="s">
        <v>35</v>
      </c>
      <c r="E124" s="39" t="s">
        <v>95</v>
      </c>
      <c r="F124" s="39" t="n">
        <v>1</v>
      </c>
      <c r="G124" s="41" t="n">
        <v>478</v>
      </c>
      <c r="H124" s="42" t="n">
        <f aca="false">F124*G124</f>
        <v>478</v>
      </c>
      <c r="I124" s="39" t="s">
        <v>34</v>
      </c>
      <c r="J124" s="39" t="s">
        <v>43</v>
      </c>
      <c r="K124" s="39" t="n">
        <v>3</v>
      </c>
    </row>
    <row r="125" customFormat="false" ht="15" hidden="false" customHeight="false" outlineLevel="0" collapsed="false">
      <c r="A125" s="39" t="s">
        <v>235</v>
      </c>
      <c r="B125" s="40" t="n">
        <v>46214</v>
      </c>
      <c r="C125" s="39" t="s">
        <v>53</v>
      </c>
      <c r="D125" s="39" t="s">
        <v>35</v>
      </c>
      <c r="E125" s="39" t="s">
        <v>159</v>
      </c>
      <c r="F125" s="39" t="n">
        <v>1</v>
      </c>
      <c r="G125" s="41" t="n">
        <v>308</v>
      </c>
      <c r="H125" s="42" t="n">
        <f aca="false">F125*G125</f>
        <v>308</v>
      </c>
      <c r="I125" s="39" t="s">
        <v>36</v>
      </c>
      <c r="J125" s="39" t="s">
        <v>42</v>
      </c>
      <c r="K125" s="39" t="n">
        <v>6</v>
      </c>
    </row>
    <row r="126" customFormat="false" ht="15" hidden="false" customHeight="false" outlineLevel="0" collapsed="false">
      <c r="A126" s="39" t="s">
        <v>236</v>
      </c>
      <c r="B126" s="40" t="n">
        <v>46215</v>
      </c>
      <c r="C126" s="39" t="s">
        <v>101</v>
      </c>
      <c r="D126" s="39" t="s">
        <v>38</v>
      </c>
      <c r="E126" s="39" t="s">
        <v>121</v>
      </c>
      <c r="F126" s="39" t="n">
        <v>1</v>
      </c>
      <c r="G126" s="41" t="n">
        <v>668</v>
      </c>
      <c r="H126" s="42" t="n">
        <f aca="false">F126*G126</f>
        <v>668</v>
      </c>
      <c r="I126" s="39" t="s">
        <v>36</v>
      </c>
      <c r="J126" s="39" t="s">
        <v>42</v>
      </c>
      <c r="K126" s="39" t="n">
        <v>3</v>
      </c>
    </row>
    <row r="127" customFormat="false" ht="15" hidden="false" customHeight="false" outlineLevel="0" collapsed="false">
      <c r="A127" s="39" t="s">
        <v>237</v>
      </c>
      <c r="B127" s="40" t="n">
        <v>46215</v>
      </c>
      <c r="C127" s="39" t="s">
        <v>101</v>
      </c>
      <c r="D127" s="39" t="s">
        <v>38</v>
      </c>
      <c r="E127" s="39" t="s">
        <v>107</v>
      </c>
      <c r="F127" s="39" t="n">
        <v>1</v>
      </c>
      <c r="G127" s="41" t="n">
        <v>458</v>
      </c>
      <c r="H127" s="42" t="n">
        <f aca="false">F127*G127</f>
        <v>458</v>
      </c>
      <c r="I127" s="39" t="s">
        <v>34</v>
      </c>
      <c r="J127" s="39" t="s">
        <v>42</v>
      </c>
      <c r="K127" s="39" t="n">
        <v>4</v>
      </c>
    </row>
    <row r="128" customFormat="false" ht="15" hidden="false" customHeight="false" outlineLevel="0" collapsed="false">
      <c r="A128" s="39" t="s">
        <v>238</v>
      </c>
      <c r="B128" s="40" t="n">
        <v>46215</v>
      </c>
      <c r="C128" s="39" t="s">
        <v>50</v>
      </c>
      <c r="D128" s="39" t="s">
        <v>33</v>
      </c>
      <c r="E128" s="39" t="s">
        <v>136</v>
      </c>
      <c r="F128" s="39" t="n">
        <v>1</v>
      </c>
      <c r="G128" s="41" t="n">
        <v>398</v>
      </c>
      <c r="H128" s="42" t="n">
        <f aca="false">F128*G128</f>
        <v>398</v>
      </c>
      <c r="I128" s="39" t="s">
        <v>36</v>
      </c>
      <c r="J128" s="39" t="s">
        <v>42</v>
      </c>
      <c r="K128" s="39" t="n">
        <v>5</v>
      </c>
    </row>
    <row r="129" customFormat="false" ht="15" hidden="false" customHeight="false" outlineLevel="0" collapsed="false">
      <c r="A129" s="39" t="s">
        <v>239</v>
      </c>
      <c r="B129" s="40" t="n">
        <v>46215</v>
      </c>
      <c r="C129" s="39" t="s">
        <v>52</v>
      </c>
      <c r="D129" s="39" t="s">
        <v>39</v>
      </c>
      <c r="E129" s="39" t="s">
        <v>105</v>
      </c>
      <c r="F129" s="39" t="n">
        <v>2</v>
      </c>
      <c r="G129" s="41" t="n">
        <v>718</v>
      </c>
      <c r="H129" s="42" t="n">
        <f aca="false">F129*G129</f>
        <v>1436</v>
      </c>
      <c r="I129" s="39" t="s">
        <v>36</v>
      </c>
      <c r="J129" s="39" t="s">
        <v>42</v>
      </c>
      <c r="K129" s="39" t="n">
        <v>3</v>
      </c>
    </row>
    <row r="130" customFormat="false" ht="15" hidden="false" customHeight="false" outlineLevel="0" collapsed="false">
      <c r="A130" s="39" t="s">
        <v>240</v>
      </c>
      <c r="B130" s="40" t="n">
        <v>46215</v>
      </c>
      <c r="C130" s="39" t="s">
        <v>52</v>
      </c>
      <c r="D130" s="39" t="s">
        <v>33</v>
      </c>
      <c r="E130" s="39" t="s">
        <v>114</v>
      </c>
      <c r="F130" s="39" t="n">
        <v>1</v>
      </c>
      <c r="G130" s="41" t="n">
        <v>618</v>
      </c>
      <c r="H130" s="42" t="n">
        <f aca="false">F130*G130</f>
        <v>618</v>
      </c>
      <c r="I130" s="39" t="s">
        <v>34</v>
      </c>
      <c r="J130" s="39" t="s">
        <v>42</v>
      </c>
      <c r="K130" s="39" t="n">
        <v>4</v>
      </c>
    </row>
    <row r="131" customFormat="false" ht="15" hidden="false" customHeight="false" outlineLevel="0" collapsed="false">
      <c r="A131" s="39" t="s">
        <v>241</v>
      </c>
      <c r="B131" s="40" t="n">
        <v>46215</v>
      </c>
      <c r="C131" s="39" t="s">
        <v>51</v>
      </c>
      <c r="D131" s="39" t="s">
        <v>33</v>
      </c>
      <c r="E131" s="39" t="s">
        <v>117</v>
      </c>
      <c r="F131" s="39" t="n">
        <v>2</v>
      </c>
      <c r="G131" s="41" t="n">
        <v>528</v>
      </c>
      <c r="H131" s="42" t="n">
        <f aca="false">F131*G131</f>
        <v>1056</v>
      </c>
      <c r="I131" s="39" t="s">
        <v>34</v>
      </c>
      <c r="J131" s="39" t="s">
        <v>42</v>
      </c>
      <c r="K131" s="39" t="n">
        <v>4</v>
      </c>
    </row>
    <row r="132" customFormat="false" ht="15" hidden="false" customHeight="false" outlineLevel="0" collapsed="false">
      <c r="A132" s="39" t="s">
        <v>242</v>
      </c>
      <c r="B132" s="40" t="n">
        <v>46215</v>
      </c>
      <c r="C132" s="39" t="s">
        <v>49</v>
      </c>
      <c r="D132" s="39" t="s">
        <v>33</v>
      </c>
      <c r="E132" s="39" t="s">
        <v>117</v>
      </c>
      <c r="F132" s="39" t="n">
        <v>1</v>
      </c>
      <c r="G132" s="41" t="n">
        <v>508</v>
      </c>
      <c r="H132" s="42" t="n">
        <f aca="false">F132*G132</f>
        <v>508</v>
      </c>
      <c r="I132" s="39" t="s">
        <v>34</v>
      </c>
      <c r="J132" s="39" t="s">
        <v>42</v>
      </c>
      <c r="K132" s="39" t="n">
        <v>3</v>
      </c>
    </row>
    <row r="133" customFormat="false" ht="15" hidden="false" customHeight="false" outlineLevel="0" collapsed="false">
      <c r="A133" s="39" t="s">
        <v>243</v>
      </c>
      <c r="B133" s="40" t="n">
        <v>46215</v>
      </c>
      <c r="C133" s="39" t="s">
        <v>49</v>
      </c>
      <c r="D133" s="39" t="s">
        <v>39</v>
      </c>
      <c r="E133" s="39" t="s">
        <v>99</v>
      </c>
      <c r="F133" s="39" t="n">
        <v>2</v>
      </c>
      <c r="G133" s="41" t="n">
        <v>598</v>
      </c>
      <c r="H133" s="42" t="n">
        <f aca="false">F133*G133</f>
        <v>1196</v>
      </c>
      <c r="I133" s="39" t="s">
        <v>34</v>
      </c>
      <c r="J133" s="39" t="s">
        <v>42</v>
      </c>
      <c r="K133" s="39" t="n">
        <v>3</v>
      </c>
    </row>
    <row r="134" customFormat="false" ht="15" hidden="false" customHeight="false" outlineLevel="0" collapsed="false">
      <c r="A134" s="39" t="s">
        <v>244</v>
      </c>
      <c r="B134" s="40" t="n">
        <v>46215</v>
      </c>
      <c r="C134" s="39" t="s">
        <v>51</v>
      </c>
      <c r="D134" s="39" t="s">
        <v>37</v>
      </c>
      <c r="E134" s="39" t="s">
        <v>97</v>
      </c>
      <c r="F134" s="39" t="n">
        <v>1</v>
      </c>
      <c r="G134" s="41" t="n">
        <v>498</v>
      </c>
      <c r="H134" s="42" t="n">
        <f aca="false">F134*G134</f>
        <v>498</v>
      </c>
      <c r="I134" s="39" t="s">
        <v>34</v>
      </c>
      <c r="J134" s="39" t="s">
        <v>42</v>
      </c>
      <c r="K134" s="39" t="n">
        <v>3</v>
      </c>
    </row>
    <row r="135" customFormat="false" ht="15" hidden="false" customHeight="false" outlineLevel="0" collapsed="false">
      <c r="A135" s="39" t="s">
        <v>245</v>
      </c>
      <c r="B135" s="40" t="n">
        <v>46215</v>
      </c>
      <c r="C135" s="39" t="s">
        <v>48</v>
      </c>
      <c r="D135" s="39" t="s">
        <v>39</v>
      </c>
      <c r="E135" s="39" t="s">
        <v>99</v>
      </c>
      <c r="F135" s="39" t="n">
        <v>3</v>
      </c>
      <c r="G135" s="41" t="n">
        <v>598</v>
      </c>
      <c r="H135" s="42" t="n">
        <f aca="false">F135*G135</f>
        <v>1794</v>
      </c>
      <c r="I135" s="39" t="s">
        <v>34</v>
      </c>
      <c r="J135" s="39" t="s">
        <v>43</v>
      </c>
      <c r="K135" s="39" t="n">
        <v>4</v>
      </c>
    </row>
    <row r="136" customFormat="false" ht="15" hidden="false" customHeight="false" outlineLevel="0" collapsed="false">
      <c r="A136" s="39" t="s">
        <v>246</v>
      </c>
      <c r="B136" s="40" t="n">
        <v>46215</v>
      </c>
      <c r="C136" s="39" t="s">
        <v>49</v>
      </c>
      <c r="D136" s="39" t="s">
        <v>37</v>
      </c>
      <c r="E136" s="39" t="s">
        <v>97</v>
      </c>
      <c r="F136" s="39" t="n">
        <v>1</v>
      </c>
      <c r="G136" s="41" t="n">
        <v>498</v>
      </c>
      <c r="H136" s="42" t="n">
        <f aca="false">F136*G136</f>
        <v>498</v>
      </c>
      <c r="I136" s="39" t="s">
        <v>34</v>
      </c>
      <c r="J136" s="39" t="s">
        <v>42</v>
      </c>
      <c r="K136" s="39" t="n">
        <v>6</v>
      </c>
    </row>
    <row r="137" customFormat="false" ht="15" hidden="false" customHeight="false" outlineLevel="0" collapsed="false">
      <c r="A137" s="39" t="s">
        <v>247</v>
      </c>
      <c r="B137" s="40" t="n">
        <v>46215</v>
      </c>
      <c r="C137" s="39" t="s">
        <v>109</v>
      </c>
      <c r="D137" s="39" t="s">
        <v>33</v>
      </c>
      <c r="E137" s="39" t="s">
        <v>102</v>
      </c>
      <c r="F137" s="39" t="n">
        <v>1</v>
      </c>
      <c r="G137" s="41" t="n">
        <v>568</v>
      </c>
      <c r="H137" s="42" t="n">
        <f aca="false">F137*G137</f>
        <v>568</v>
      </c>
      <c r="I137" s="39" t="s">
        <v>36</v>
      </c>
      <c r="J137" s="39" t="s">
        <v>42</v>
      </c>
      <c r="K137" s="39" t="n">
        <v>4</v>
      </c>
    </row>
    <row r="138" customFormat="false" ht="15" hidden="false" customHeight="false" outlineLevel="0" collapsed="false">
      <c r="A138" s="39" t="s">
        <v>248</v>
      </c>
      <c r="B138" s="40" t="n">
        <v>46215</v>
      </c>
      <c r="C138" s="39" t="s">
        <v>48</v>
      </c>
      <c r="D138" s="39" t="s">
        <v>33</v>
      </c>
      <c r="E138" s="39" t="s">
        <v>102</v>
      </c>
      <c r="F138" s="39" t="n">
        <v>1</v>
      </c>
      <c r="G138" s="41" t="n">
        <v>598</v>
      </c>
      <c r="H138" s="42" t="n">
        <f aca="false">F138*G138</f>
        <v>598</v>
      </c>
      <c r="I138" s="39" t="s">
        <v>36</v>
      </c>
      <c r="J138" s="39" t="s">
        <v>42</v>
      </c>
      <c r="K138" s="39" t="n">
        <v>3</v>
      </c>
    </row>
    <row r="139" customFormat="false" ht="15" hidden="false" customHeight="false" outlineLevel="0" collapsed="false">
      <c r="A139" s="39" t="s">
        <v>249</v>
      </c>
      <c r="B139" s="40" t="n">
        <v>46215</v>
      </c>
      <c r="C139" s="39" t="s">
        <v>49</v>
      </c>
      <c r="D139" s="39" t="s">
        <v>33</v>
      </c>
      <c r="E139" s="39" t="s">
        <v>114</v>
      </c>
      <c r="F139" s="39" t="n">
        <v>1</v>
      </c>
      <c r="G139" s="41" t="n">
        <v>578</v>
      </c>
      <c r="H139" s="42" t="n">
        <f aca="false">F139*G139</f>
        <v>578</v>
      </c>
      <c r="I139" s="39" t="s">
        <v>34</v>
      </c>
      <c r="J139" s="39" t="s">
        <v>42</v>
      </c>
      <c r="K139" s="39" t="n">
        <v>4</v>
      </c>
    </row>
    <row r="140" customFormat="false" ht="15" hidden="false" customHeight="false" outlineLevel="0" collapsed="false">
      <c r="A140" s="39" t="s">
        <v>250</v>
      </c>
      <c r="B140" s="40" t="n">
        <v>46215</v>
      </c>
      <c r="C140" s="39" t="s">
        <v>53</v>
      </c>
      <c r="D140" s="39" t="s">
        <v>33</v>
      </c>
      <c r="E140" s="39" t="s">
        <v>136</v>
      </c>
      <c r="F140" s="39" t="n">
        <v>1</v>
      </c>
      <c r="G140" s="41" t="n">
        <v>388</v>
      </c>
      <c r="H140" s="42" t="n">
        <f aca="false">F140*G140</f>
        <v>388</v>
      </c>
      <c r="I140" s="39" t="s">
        <v>36</v>
      </c>
      <c r="J140" s="39" t="s">
        <v>47</v>
      </c>
      <c r="K140" s="39"/>
    </row>
    <row r="141" customFormat="false" ht="15" hidden="false" customHeight="false" outlineLevel="0" collapsed="false">
      <c r="A141" s="39" t="s">
        <v>251</v>
      </c>
      <c r="B141" s="40" t="n">
        <v>46215</v>
      </c>
      <c r="C141" s="39" t="s">
        <v>50</v>
      </c>
      <c r="D141" s="39" t="s">
        <v>35</v>
      </c>
      <c r="E141" s="39" t="s">
        <v>125</v>
      </c>
      <c r="F141" s="39" t="n">
        <v>1</v>
      </c>
      <c r="G141" s="41" t="n">
        <v>268</v>
      </c>
      <c r="H141" s="42" t="n">
        <f aca="false">F141*G141</f>
        <v>268</v>
      </c>
      <c r="I141" s="39" t="s">
        <v>34</v>
      </c>
      <c r="J141" s="39" t="s">
        <v>43</v>
      </c>
      <c r="K141" s="39" t="n">
        <v>2</v>
      </c>
    </row>
    <row r="142" customFormat="false" ht="15" hidden="false" customHeight="false" outlineLevel="0" collapsed="false">
      <c r="A142" s="39" t="s">
        <v>252</v>
      </c>
      <c r="B142" s="40" t="n">
        <v>46215</v>
      </c>
      <c r="C142" s="39" t="s">
        <v>101</v>
      </c>
      <c r="D142" s="39" t="s">
        <v>38</v>
      </c>
      <c r="E142" s="39" t="s">
        <v>110</v>
      </c>
      <c r="F142" s="39" t="n">
        <v>1</v>
      </c>
      <c r="G142" s="41" t="n">
        <v>858</v>
      </c>
      <c r="H142" s="42" t="n">
        <f aca="false">F142*G142</f>
        <v>858</v>
      </c>
      <c r="I142" s="39" t="s">
        <v>34</v>
      </c>
      <c r="J142" s="39" t="s">
        <v>42</v>
      </c>
      <c r="K142" s="39" t="n">
        <v>4</v>
      </c>
    </row>
    <row r="143" customFormat="false" ht="15" hidden="false" customHeight="false" outlineLevel="0" collapsed="false">
      <c r="A143" s="39" t="s">
        <v>253</v>
      </c>
      <c r="B143" s="40" t="n">
        <v>46215</v>
      </c>
      <c r="C143" s="39" t="s">
        <v>109</v>
      </c>
      <c r="D143" s="39" t="s">
        <v>38</v>
      </c>
      <c r="E143" s="39" t="s">
        <v>121</v>
      </c>
      <c r="F143" s="39" t="n">
        <v>1</v>
      </c>
      <c r="G143" s="41" t="n">
        <v>818</v>
      </c>
      <c r="H143" s="42" t="n">
        <f aca="false">F143*G143</f>
        <v>818</v>
      </c>
      <c r="I143" s="39" t="s">
        <v>36</v>
      </c>
      <c r="J143" s="39" t="s">
        <v>42</v>
      </c>
      <c r="K143" s="39" t="n">
        <v>3</v>
      </c>
    </row>
    <row r="144" customFormat="false" ht="15" hidden="false" customHeight="false" outlineLevel="0" collapsed="false">
      <c r="A144" s="39" t="s">
        <v>254</v>
      </c>
      <c r="B144" s="40" t="n">
        <v>46215</v>
      </c>
      <c r="C144" s="39" t="s">
        <v>101</v>
      </c>
      <c r="D144" s="39" t="s">
        <v>33</v>
      </c>
      <c r="E144" s="39" t="s">
        <v>102</v>
      </c>
      <c r="F144" s="39" t="n">
        <v>1</v>
      </c>
      <c r="G144" s="41" t="n">
        <v>678</v>
      </c>
      <c r="H144" s="42" t="n">
        <f aca="false">F144*G144</f>
        <v>678</v>
      </c>
      <c r="I144" s="39" t="s">
        <v>34</v>
      </c>
      <c r="J144" s="39" t="s">
        <v>42</v>
      </c>
      <c r="K144" s="39" t="n">
        <v>3</v>
      </c>
    </row>
    <row r="145" customFormat="false" ht="15" hidden="false" customHeight="false" outlineLevel="0" collapsed="false">
      <c r="A145" s="39" t="s">
        <v>255</v>
      </c>
      <c r="B145" s="40" t="n">
        <v>46216</v>
      </c>
      <c r="C145" s="39" t="s">
        <v>49</v>
      </c>
      <c r="D145" s="39" t="s">
        <v>37</v>
      </c>
      <c r="E145" s="39" t="s">
        <v>131</v>
      </c>
      <c r="F145" s="39" t="n">
        <v>1</v>
      </c>
      <c r="G145" s="41" t="n">
        <v>238</v>
      </c>
      <c r="H145" s="42" t="n">
        <f aca="false">F145*G145</f>
        <v>238</v>
      </c>
      <c r="I145" s="39" t="s">
        <v>34</v>
      </c>
      <c r="J145" s="39" t="s">
        <v>42</v>
      </c>
      <c r="K145" s="39" t="n">
        <v>7</v>
      </c>
    </row>
    <row r="146" customFormat="false" ht="15" hidden="false" customHeight="false" outlineLevel="0" collapsed="false">
      <c r="A146" s="39" t="s">
        <v>256</v>
      </c>
      <c r="B146" s="40" t="n">
        <v>46216</v>
      </c>
      <c r="C146" s="39" t="s">
        <v>53</v>
      </c>
      <c r="D146" s="39" t="s">
        <v>35</v>
      </c>
      <c r="E146" s="39" t="s">
        <v>125</v>
      </c>
      <c r="F146" s="39" t="n">
        <v>1</v>
      </c>
      <c r="G146" s="41" t="n">
        <v>698</v>
      </c>
      <c r="H146" s="42" t="n">
        <f aca="false">F146*G146</f>
        <v>698</v>
      </c>
      <c r="I146" s="39" t="s">
        <v>36</v>
      </c>
      <c r="J146" s="39" t="s">
        <v>42</v>
      </c>
      <c r="K146" s="39" t="n">
        <v>7</v>
      </c>
    </row>
    <row r="147" customFormat="false" ht="15" hidden="false" customHeight="false" outlineLevel="0" collapsed="false">
      <c r="A147" s="39" t="s">
        <v>257</v>
      </c>
      <c r="B147" s="40" t="n">
        <v>46216</v>
      </c>
      <c r="C147" s="39" t="s">
        <v>48</v>
      </c>
      <c r="D147" s="39" t="s">
        <v>35</v>
      </c>
      <c r="E147" s="39" t="s">
        <v>125</v>
      </c>
      <c r="F147" s="39" t="n">
        <v>1</v>
      </c>
      <c r="G147" s="41" t="n">
        <v>538</v>
      </c>
      <c r="H147" s="42" t="n">
        <f aca="false">F147*G147</f>
        <v>538</v>
      </c>
      <c r="I147" s="39" t="s">
        <v>36</v>
      </c>
      <c r="J147" s="39" t="s">
        <v>42</v>
      </c>
      <c r="K147" s="39" t="n">
        <v>4</v>
      </c>
    </row>
    <row r="148" customFormat="false" ht="15" hidden="false" customHeight="false" outlineLevel="0" collapsed="false">
      <c r="A148" s="39" t="s">
        <v>258</v>
      </c>
      <c r="B148" s="40" t="n">
        <v>46216</v>
      </c>
      <c r="C148" s="39" t="s">
        <v>109</v>
      </c>
      <c r="D148" s="39" t="s">
        <v>35</v>
      </c>
      <c r="E148" s="39" t="s">
        <v>125</v>
      </c>
      <c r="F148" s="39" t="n">
        <v>3</v>
      </c>
      <c r="G148" s="41" t="n">
        <v>758</v>
      </c>
      <c r="H148" s="42" t="n">
        <f aca="false">F148*G148</f>
        <v>2274</v>
      </c>
      <c r="I148" s="39" t="s">
        <v>34</v>
      </c>
      <c r="J148" s="39" t="s">
        <v>42</v>
      </c>
      <c r="K148" s="39" t="n">
        <v>3</v>
      </c>
    </row>
    <row r="149" customFormat="false" ht="15" hidden="false" customHeight="false" outlineLevel="0" collapsed="false">
      <c r="A149" s="39" t="s">
        <v>259</v>
      </c>
      <c r="B149" s="40" t="n">
        <v>46216</v>
      </c>
      <c r="C149" s="39" t="s">
        <v>53</v>
      </c>
      <c r="D149" s="39" t="s">
        <v>38</v>
      </c>
      <c r="E149" s="39" t="s">
        <v>110</v>
      </c>
      <c r="F149" s="39" t="n">
        <v>3</v>
      </c>
      <c r="G149" s="41" t="n">
        <v>838</v>
      </c>
      <c r="H149" s="42" t="n">
        <f aca="false">F149*G149</f>
        <v>2514</v>
      </c>
      <c r="I149" s="39" t="s">
        <v>34</v>
      </c>
      <c r="J149" s="39" t="s">
        <v>42</v>
      </c>
      <c r="K149" s="39" t="n">
        <v>3</v>
      </c>
    </row>
    <row r="150" customFormat="false" ht="15" hidden="false" customHeight="false" outlineLevel="0" collapsed="false">
      <c r="A150" s="39" t="s">
        <v>260</v>
      </c>
      <c r="B150" s="40" t="n">
        <v>46216</v>
      </c>
      <c r="C150" s="39" t="s">
        <v>109</v>
      </c>
      <c r="D150" s="39" t="s">
        <v>39</v>
      </c>
      <c r="E150" s="39" t="s">
        <v>129</v>
      </c>
      <c r="F150" s="39" t="n">
        <v>1</v>
      </c>
      <c r="G150" s="41" t="n">
        <v>1008</v>
      </c>
      <c r="H150" s="42" t="n">
        <f aca="false">F150*G150</f>
        <v>1008</v>
      </c>
      <c r="I150" s="39" t="s">
        <v>34</v>
      </c>
      <c r="J150" s="39" t="s">
        <v>43</v>
      </c>
      <c r="K150" s="39" t="n">
        <v>3</v>
      </c>
    </row>
    <row r="151" customFormat="false" ht="15" hidden="false" customHeight="false" outlineLevel="0" collapsed="false">
      <c r="A151" s="39" t="s">
        <v>261</v>
      </c>
      <c r="B151" s="40" t="n">
        <v>46216</v>
      </c>
      <c r="C151" s="39" t="s">
        <v>50</v>
      </c>
      <c r="D151" s="39" t="s">
        <v>35</v>
      </c>
      <c r="E151" s="39" t="s">
        <v>95</v>
      </c>
      <c r="F151" s="39" t="n">
        <v>1</v>
      </c>
      <c r="G151" s="41" t="n">
        <v>718</v>
      </c>
      <c r="H151" s="42" t="n">
        <f aca="false">F151*G151</f>
        <v>718</v>
      </c>
      <c r="I151" s="39" t="s">
        <v>34</v>
      </c>
      <c r="J151" s="39" t="s">
        <v>42</v>
      </c>
      <c r="K151" s="39" t="n">
        <v>5</v>
      </c>
    </row>
    <row r="152" customFormat="false" ht="15" hidden="false" customHeight="false" outlineLevel="0" collapsed="false">
      <c r="A152" s="39" t="s">
        <v>262</v>
      </c>
      <c r="B152" s="40" t="n">
        <v>46217</v>
      </c>
      <c r="C152" s="39" t="s">
        <v>52</v>
      </c>
      <c r="D152" s="39" t="s">
        <v>37</v>
      </c>
      <c r="E152" s="39" t="s">
        <v>97</v>
      </c>
      <c r="F152" s="39" t="n">
        <v>1</v>
      </c>
      <c r="G152" s="41" t="n">
        <v>388</v>
      </c>
      <c r="H152" s="42" t="n">
        <f aca="false">F152*G152</f>
        <v>388</v>
      </c>
      <c r="I152" s="39" t="s">
        <v>36</v>
      </c>
      <c r="J152" s="39" t="s">
        <v>42</v>
      </c>
      <c r="K152" s="39" t="n">
        <v>4</v>
      </c>
    </row>
    <row r="153" customFormat="false" ht="15" hidden="false" customHeight="false" outlineLevel="0" collapsed="false">
      <c r="A153" s="39" t="s">
        <v>263</v>
      </c>
      <c r="B153" s="40" t="n">
        <v>46217</v>
      </c>
      <c r="C153" s="39" t="s">
        <v>50</v>
      </c>
      <c r="D153" s="39" t="s">
        <v>38</v>
      </c>
      <c r="E153" s="39" t="s">
        <v>107</v>
      </c>
      <c r="F153" s="39" t="n">
        <v>1</v>
      </c>
      <c r="G153" s="41" t="n">
        <v>618</v>
      </c>
      <c r="H153" s="42" t="n">
        <f aca="false">F153*G153</f>
        <v>618</v>
      </c>
      <c r="I153" s="39" t="s">
        <v>34</v>
      </c>
      <c r="J153" s="39" t="s">
        <v>42</v>
      </c>
      <c r="K153" s="39" t="n">
        <v>3</v>
      </c>
    </row>
    <row r="154" customFormat="false" ht="15" hidden="false" customHeight="false" outlineLevel="0" collapsed="false">
      <c r="A154" s="39" t="s">
        <v>264</v>
      </c>
      <c r="B154" s="40" t="n">
        <v>46217</v>
      </c>
      <c r="C154" s="39" t="s">
        <v>101</v>
      </c>
      <c r="D154" s="39" t="s">
        <v>35</v>
      </c>
      <c r="E154" s="39" t="s">
        <v>159</v>
      </c>
      <c r="F154" s="39" t="n">
        <v>2</v>
      </c>
      <c r="G154" s="41" t="n">
        <v>448</v>
      </c>
      <c r="H154" s="42" t="n">
        <f aca="false">F154*G154</f>
        <v>896</v>
      </c>
      <c r="I154" s="39" t="s">
        <v>34</v>
      </c>
      <c r="J154" s="39" t="s">
        <v>42</v>
      </c>
      <c r="K154" s="39" t="n">
        <v>4</v>
      </c>
    </row>
    <row r="155" customFormat="false" ht="15" hidden="false" customHeight="false" outlineLevel="0" collapsed="false">
      <c r="A155" s="39" t="s">
        <v>265</v>
      </c>
      <c r="B155" s="40" t="n">
        <v>46217</v>
      </c>
      <c r="C155" s="39" t="s">
        <v>48</v>
      </c>
      <c r="D155" s="39" t="s">
        <v>37</v>
      </c>
      <c r="E155" s="39" t="s">
        <v>141</v>
      </c>
      <c r="F155" s="39" t="n">
        <v>1</v>
      </c>
      <c r="G155" s="41" t="n">
        <v>388</v>
      </c>
      <c r="H155" s="42" t="n">
        <f aca="false">F155*G155</f>
        <v>388</v>
      </c>
      <c r="I155" s="39" t="s">
        <v>34</v>
      </c>
      <c r="J155" s="39" t="s">
        <v>42</v>
      </c>
      <c r="K155" s="39" t="n">
        <v>5</v>
      </c>
    </row>
    <row r="156" customFormat="false" ht="15" hidden="false" customHeight="false" outlineLevel="0" collapsed="false">
      <c r="A156" s="39" t="s">
        <v>266</v>
      </c>
      <c r="B156" s="40" t="n">
        <v>46217</v>
      </c>
      <c r="C156" s="39" t="s">
        <v>51</v>
      </c>
      <c r="D156" s="39" t="s">
        <v>35</v>
      </c>
      <c r="E156" s="39" t="s">
        <v>125</v>
      </c>
      <c r="F156" s="39" t="n">
        <v>1</v>
      </c>
      <c r="G156" s="41" t="n">
        <v>488</v>
      </c>
      <c r="H156" s="42" t="n">
        <f aca="false">F156*G156</f>
        <v>488</v>
      </c>
      <c r="I156" s="39" t="s">
        <v>34</v>
      </c>
      <c r="J156" s="39" t="s">
        <v>42</v>
      </c>
      <c r="K156" s="39" t="n">
        <v>3</v>
      </c>
    </row>
    <row r="157" customFormat="false" ht="15" hidden="false" customHeight="false" outlineLevel="0" collapsed="false">
      <c r="A157" s="39" t="s">
        <v>267</v>
      </c>
      <c r="B157" s="40" t="n">
        <v>46217</v>
      </c>
      <c r="C157" s="39" t="s">
        <v>52</v>
      </c>
      <c r="D157" s="39" t="s">
        <v>33</v>
      </c>
      <c r="E157" s="39" t="s">
        <v>114</v>
      </c>
      <c r="F157" s="39" t="n">
        <v>1</v>
      </c>
      <c r="G157" s="41" t="n">
        <v>568</v>
      </c>
      <c r="H157" s="42" t="n">
        <f aca="false">F157*G157</f>
        <v>568</v>
      </c>
      <c r="I157" s="39" t="s">
        <v>34</v>
      </c>
      <c r="J157" s="39" t="s">
        <v>42</v>
      </c>
      <c r="K157" s="39" t="n">
        <v>5</v>
      </c>
    </row>
    <row r="158" customFormat="false" ht="15" hidden="false" customHeight="false" outlineLevel="0" collapsed="false">
      <c r="A158" s="39" t="s">
        <v>268</v>
      </c>
      <c r="B158" s="40" t="n">
        <v>46217</v>
      </c>
      <c r="C158" s="39" t="s">
        <v>52</v>
      </c>
      <c r="D158" s="39" t="s">
        <v>35</v>
      </c>
      <c r="E158" s="39" t="s">
        <v>95</v>
      </c>
      <c r="F158" s="39" t="n">
        <v>1</v>
      </c>
      <c r="G158" s="41" t="n">
        <v>688</v>
      </c>
      <c r="H158" s="42" t="n">
        <f aca="false">F158*G158</f>
        <v>688</v>
      </c>
      <c r="I158" s="39" t="s">
        <v>34</v>
      </c>
      <c r="J158" s="39" t="s">
        <v>42</v>
      </c>
      <c r="K158" s="39" t="n">
        <v>7</v>
      </c>
    </row>
    <row r="159" customFormat="false" ht="15" hidden="false" customHeight="false" outlineLevel="0" collapsed="false">
      <c r="A159" s="39" t="s">
        <v>269</v>
      </c>
      <c r="B159" s="40" t="n">
        <v>46217</v>
      </c>
      <c r="C159" s="39" t="s">
        <v>109</v>
      </c>
      <c r="D159" s="39" t="s">
        <v>35</v>
      </c>
      <c r="E159" s="39" t="s">
        <v>95</v>
      </c>
      <c r="F159" s="39" t="n">
        <v>2</v>
      </c>
      <c r="G159" s="41" t="n">
        <v>548</v>
      </c>
      <c r="H159" s="42" t="n">
        <f aca="false">F159*G159</f>
        <v>1096</v>
      </c>
      <c r="I159" s="39" t="s">
        <v>34</v>
      </c>
      <c r="J159" s="39" t="s">
        <v>42</v>
      </c>
      <c r="K159" s="39" t="n">
        <v>7</v>
      </c>
    </row>
    <row r="160" customFormat="false" ht="15" hidden="false" customHeight="false" outlineLevel="0" collapsed="false">
      <c r="A160" s="39" t="s">
        <v>270</v>
      </c>
      <c r="B160" s="40" t="n">
        <v>46217</v>
      </c>
      <c r="C160" s="39" t="s">
        <v>49</v>
      </c>
      <c r="D160" s="39" t="s">
        <v>33</v>
      </c>
      <c r="E160" s="39" t="s">
        <v>136</v>
      </c>
      <c r="F160" s="39" t="n">
        <v>2</v>
      </c>
      <c r="G160" s="41" t="n">
        <v>358</v>
      </c>
      <c r="H160" s="42" t="n">
        <f aca="false">F160*G160</f>
        <v>716</v>
      </c>
      <c r="I160" s="39" t="s">
        <v>34</v>
      </c>
      <c r="J160" s="39" t="s">
        <v>42</v>
      </c>
      <c r="K160" s="39" t="n">
        <v>4</v>
      </c>
    </row>
    <row r="161" customFormat="false" ht="15" hidden="false" customHeight="false" outlineLevel="0" collapsed="false">
      <c r="A161" s="39" t="s">
        <v>271</v>
      </c>
      <c r="B161" s="40" t="n">
        <v>46218</v>
      </c>
      <c r="C161" s="39" t="s">
        <v>109</v>
      </c>
      <c r="D161" s="39" t="s">
        <v>33</v>
      </c>
      <c r="E161" s="39" t="s">
        <v>102</v>
      </c>
      <c r="F161" s="39" t="n">
        <v>2</v>
      </c>
      <c r="G161" s="41" t="n">
        <v>898</v>
      </c>
      <c r="H161" s="42" t="n">
        <f aca="false">F161*G161</f>
        <v>1796</v>
      </c>
      <c r="I161" s="39" t="s">
        <v>34</v>
      </c>
      <c r="J161" s="39" t="s">
        <v>47</v>
      </c>
      <c r="K161" s="39"/>
    </row>
    <row r="162" customFormat="false" ht="15" hidden="false" customHeight="false" outlineLevel="0" collapsed="false">
      <c r="A162" s="39" t="s">
        <v>272</v>
      </c>
      <c r="B162" s="40" t="n">
        <v>46218</v>
      </c>
      <c r="C162" s="39" t="s">
        <v>52</v>
      </c>
      <c r="D162" s="39" t="s">
        <v>39</v>
      </c>
      <c r="E162" s="39" t="s">
        <v>105</v>
      </c>
      <c r="F162" s="39" t="n">
        <v>1</v>
      </c>
      <c r="G162" s="41" t="n">
        <v>418</v>
      </c>
      <c r="H162" s="42" t="n">
        <f aca="false">F162*G162</f>
        <v>418</v>
      </c>
      <c r="I162" s="39" t="s">
        <v>34</v>
      </c>
      <c r="J162" s="39" t="s">
        <v>42</v>
      </c>
      <c r="K162" s="39" t="n">
        <v>3</v>
      </c>
    </row>
    <row r="163" customFormat="false" ht="15" hidden="false" customHeight="false" outlineLevel="0" collapsed="false">
      <c r="A163" s="39" t="s">
        <v>273</v>
      </c>
      <c r="B163" s="40" t="n">
        <v>46218</v>
      </c>
      <c r="C163" s="39" t="s">
        <v>53</v>
      </c>
      <c r="D163" s="39" t="s">
        <v>33</v>
      </c>
      <c r="E163" s="39" t="s">
        <v>136</v>
      </c>
      <c r="F163" s="39" t="n">
        <v>3</v>
      </c>
      <c r="G163" s="41" t="n">
        <v>398</v>
      </c>
      <c r="H163" s="42" t="n">
        <f aca="false">F163*G163</f>
        <v>1194</v>
      </c>
      <c r="I163" s="39" t="s">
        <v>36</v>
      </c>
      <c r="J163" s="39" t="s">
        <v>45</v>
      </c>
      <c r="K163" s="39"/>
    </row>
    <row r="164" customFormat="false" ht="15" hidden="false" customHeight="false" outlineLevel="0" collapsed="false">
      <c r="A164" s="39" t="s">
        <v>274</v>
      </c>
      <c r="B164" s="40" t="n">
        <v>46218</v>
      </c>
      <c r="C164" s="39" t="s">
        <v>109</v>
      </c>
      <c r="D164" s="39" t="s">
        <v>33</v>
      </c>
      <c r="E164" s="39" t="s">
        <v>114</v>
      </c>
      <c r="F164" s="39" t="n">
        <v>1</v>
      </c>
      <c r="G164" s="41" t="n">
        <v>778</v>
      </c>
      <c r="H164" s="42" t="n">
        <f aca="false">F164*G164</f>
        <v>778</v>
      </c>
      <c r="I164" s="39" t="s">
        <v>36</v>
      </c>
      <c r="J164" s="39" t="s">
        <v>42</v>
      </c>
      <c r="K164" s="39" t="n">
        <v>3</v>
      </c>
    </row>
    <row r="165" customFormat="false" ht="15" hidden="false" customHeight="false" outlineLevel="0" collapsed="false">
      <c r="A165" s="39" t="s">
        <v>275</v>
      </c>
      <c r="B165" s="40" t="n">
        <v>46218</v>
      </c>
      <c r="C165" s="39" t="s">
        <v>48</v>
      </c>
      <c r="D165" s="39" t="s">
        <v>33</v>
      </c>
      <c r="E165" s="39" t="s">
        <v>136</v>
      </c>
      <c r="F165" s="39" t="n">
        <v>1</v>
      </c>
      <c r="G165" s="41" t="n">
        <v>518</v>
      </c>
      <c r="H165" s="42" t="n">
        <f aca="false">F165*G165</f>
        <v>518</v>
      </c>
      <c r="I165" s="39" t="s">
        <v>34</v>
      </c>
      <c r="J165" s="39" t="s">
        <v>42</v>
      </c>
      <c r="K165" s="39" t="n">
        <v>4</v>
      </c>
    </row>
    <row r="166" customFormat="false" ht="15" hidden="false" customHeight="false" outlineLevel="0" collapsed="false">
      <c r="A166" s="39" t="s">
        <v>276</v>
      </c>
      <c r="B166" s="40" t="n">
        <v>46218</v>
      </c>
      <c r="C166" s="39" t="s">
        <v>50</v>
      </c>
      <c r="D166" s="39" t="s">
        <v>35</v>
      </c>
      <c r="E166" s="39" t="s">
        <v>159</v>
      </c>
      <c r="F166" s="39" t="n">
        <v>2</v>
      </c>
      <c r="G166" s="41" t="n">
        <v>538</v>
      </c>
      <c r="H166" s="42" t="n">
        <f aca="false">F166*G166</f>
        <v>1076</v>
      </c>
      <c r="I166" s="39" t="s">
        <v>34</v>
      </c>
      <c r="J166" s="39" t="s">
        <v>42</v>
      </c>
      <c r="K166" s="39" t="n">
        <v>3</v>
      </c>
    </row>
    <row r="167" customFormat="false" ht="15" hidden="false" customHeight="false" outlineLevel="0" collapsed="false">
      <c r="A167" s="39" t="s">
        <v>277</v>
      </c>
      <c r="B167" s="40" t="n">
        <v>46218</v>
      </c>
      <c r="C167" s="39" t="s">
        <v>51</v>
      </c>
      <c r="D167" s="39" t="s">
        <v>37</v>
      </c>
      <c r="E167" s="39" t="s">
        <v>141</v>
      </c>
      <c r="F167" s="39" t="n">
        <v>3</v>
      </c>
      <c r="G167" s="41" t="n">
        <v>538</v>
      </c>
      <c r="H167" s="42" t="n">
        <f aca="false">F167*G167</f>
        <v>1614</v>
      </c>
      <c r="I167" s="39" t="s">
        <v>36</v>
      </c>
      <c r="J167" s="39" t="s">
        <v>47</v>
      </c>
      <c r="K167" s="39"/>
    </row>
    <row r="168" customFormat="false" ht="15" hidden="false" customHeight="false" outlineLevel="0" collapsed="false">
      <c r="A168" s="39" t="s">
        <v>278</v>
      </c>
      <c r="B168" s="40" t="n">
        <v>46219</v>
      </c>
      <c r="C168" s="39" t="s">
        <v>48</v>
      </c>
      <c r="D168" s="39" t="s">
        <v>33</v>
      </c>
      <c r="E168" s="39" t="s">
        <v>114</v>
      </c>
      <c r="F168" s="39" t="n">
        <v>1</v>
      </c>
      <c r="G168" s="41" t="n">
        <v>428</v>
      </c>
      <c r="H168" s="42" t="n">
        <f aca="false">F168*G168</f>
        <v>428</v>
      </c>
      <c r="I168" s="39" t="s">
        <v>34</v>
      </c>
      <c r="J168" s="39" t="s">
        <v>42</v>
      </c>
      <c r="K168" s="39" t="n">
        <v>4</v>
      </c>
    </row>
    <row r="169" customFormat="false" ht="15" hidden="false" customHeight="false" outlineLevel="0" collapsed="false">
      <c r="A169" s="39" t="s">
        <v>279</v>
      </c>
      <c r="B169" s="40" t="n">
        <v>46219</v>
      </c>
      <c r="C169" s="39" t="s">
        <v>50</v>
      </c>
      <c r="D169" s="39" t="s">
        <v>33</v>
      </c>
      <c r="E169" s="39" t="s">
        <v>102</v>
      </c>
      <c r="F169" s="39" t="n">
        <v>2</v>
      </c>
      <c r="G169" s="41" t="n">
        <v>378</v>
      </c>
      <c r="H169" s="42" t="n">
        <f aca="false">F169*G169</f>
        <v>756</v>
      </c>
      <c r="I169" s="39" t="s">
        <v>34</v>
      </c>
      <c r="J169" s="39" t="s">
        <v>42</v>
      </c>
      <c r="K169" s="39" t="n">
        <v>7</v>
      </c>
    </row>
    <row r="170" customFormat="false" ht="15" hidden="false" customHeight="false" outlineLevel="0" collapsed="false">
      <c r="A170" s="39" t="s">
        <v>280</v>
      </c>
      <c r="B170" s="40" t="n">
        <v>46219</v>
      </c>
      <c r="C170" s="39" t="s">
        <v>48</v>
      </c>
      <c r="D170" s="39" t="s">
        <v>37</v>
      </c>
      <c r="E170" s="39" t="s">
        <v>97</v>
      </c>
      <c r="F170" s="39" t="n">
        <v>1</v>
      </c>
      <c r="G170" s="41" t="n">
        <v>398</v>
      </c>
      <c r="H170" s="42" t="n">
        <f aca="false">F170*G170</f>
        <v>398</v>
      </c>
      <c r="I170" s="39" t="s">
        <v>36</v>
      </c>
      <c r="J170" s="39" t="s">
        <v>42</v>
      </c>
      <c r="K170" s="39" t="n">
        <v>7</v>
      </c>
    </row>
    <row r="171" customFormat="false" ht="15" hidden="false" customHeight="false" outlineLevel="0" collapsed="false">
      <c r="A171" s="39" t="s">
        <v>281</v>
      </c>
      <c r="B171" s="40" t="n">
        <v>46219</v>
      </c>
      <c r="C171" s="39" t="s">
        <v>51</v>
      </c>
      <c r="D171" s="39" t="s">
        <v>38</v>
      </c>
      <c r="E171" s="39" t="s">
        <v>107</v>
      </c>
      <c r="F171" s="39" t="n">
        <v>1</v>
      </c>
      <c r="G171" s="41" t="n">
        <v>888</v>
      </c>
      <c r="H171" s="42" t="n">
        <f aca="false">F171*G171</f>
        <v>888</v>
      </c>
      <c r="I171" s="39" t="s">
        <v>34</v>
      </c>
      <c r="J171" s="39" t="s">
        <v>42</v>
      </c>
      <c r="K171" s="39" t="n">
        <v>6</v>
      </c>
    </row>
    <row r="172" customFormat="false" ht="15" hidden="false" customHeight="false" outlineLevel="0" collapsed="false">
      <c r="A172" s="39" t="s">
        <v>282</v>
      </c>
      <c r="B172" s="40" t="n">
        <v>46219</v>
      </c>
      <c r="C172" s="39" t="s">
        <v>53</v>
      </c>
      <c r="D172" s="39" t="s">
        <v>33</v>
      </c>
      <c r="E172" s="39" t="s">
        <v>136</v>
      </c>
      <c r="F172" s="39" t="n">
        <v>1</v>
      </c>
      <c r="G172" s="41" t="n">
        <v>828</v>
      </c>
      <c r="H172" s="42" t="n">
        <f aca="false">F172*G172</f>
        <v>828</v>
      </c>
      <c r="I172" s="39" t="s">
        <v>34</v>
      </c>
      <c r="J172" s="39" t="s">
        <v>42</v>
      </c>
      <c r="K172" s="39" t="n">
        <v>3</v>
      </c>
    </row>
    <row r="173" customFormat="false" ht="15" hidden="false" customHeight="false" outlineLevel="0" collapsed="false">
      <c r="A173" s="39" t="s">
        <v>283</v>
      </c>
      <c r="B173" s="40" t="n">
        <v>46219</v>
      </c>
      <c r="C173" s="39" t="s">
        <v>109</v>
      </c>
      <c r="D173" s="39" t="s">
        <v>33</v>
      </c>
      <c r="E173" s="39" t="s">
        <v>136</v>
      </c>
      <c r="F173" s="39" t="n">
        <v>1</v>
      </c>
      <c r="G173" s="41" t="n">
        <v>348</v>
      </c>
      <c r="H173" s="42" t="n">
        <f aca="false">F173*G173</f>
        <v>348</v>
      </c>
      <c r="I173" s="39" t="s">
        <v>36</v>
      </c>
      <c r="J173" s="39" t="s">
        <v>47</v>
      </c>
      <c r="K173" s="39"/>
    </row>
    <row r="174" customFormat="false" ht="15" hidden="false" customHeight="false" outlineLevel="0" collapsed="false">
      <c r="A174" s="39" t="s">
        <v>284</v>
      </c>
      <c r="B174" s="40" t="n">
        <v>46219</v>
      </c>
      <c r="C174" s="39" t="s">
        <v>51</v>
      </c>
      <c r="D174" s="39" t="s">
        <v>38</v>
      </c>
      <c r="E174" s="39" t="s">
        <v>107</v>
      </c>
      <c r="F174" s="39" t="n">
        <v>1</v>
      </c>
      <c r="G174" s="41" t="n">
        <v>438</v>
      </c>
      <c r="H174" s="42" t="n">
        <f aca="false">F174*G174</f>
        <v>438</v>
      </c>
      <c r="I174" s="39" t="s">
        <v>36</v>
      </c>
      <c r="J174" s="39" t="s">
        <v>43</v>
      </c>
      <c r="K174" s="39" t="n">
        <v>4</v>
      </c>
    </row>
    <row r="175" customFormat="false" ht="15" hidden="false" customHeight="false" outlineLevel="0" collapsed="false">
      <c r="A175" s="39" t="s">
        <v>285</v>
      </c>
      <c r="B175" s="40" t="n">
        <v>46219</v>
      </c>
      <c r="C175" s="39" t="s">
        <v>48</v>
      </c>
      <c r="D175" s="39" t="s">
        <v>37</v>
      </c>
      <c r="E175" s="39" t="s">
        <v>131</v>
      </c>
      <c r="F175" s="39" t="n">
        <v>2</v>
      </c>
      <c r="G175" s="41" t="n">
        <v>428</v>
      </c>
      <c r="H175" s="42" t="n">
        <f aca="false">F175*G175</f>
        <v>856</v>
      </c>
      <c r="I175" s="39" t="s">
        <v>34</v>
      </c>
      <c r="J175" s="39" t="s">
        <v>42</v>
      </c>
      <c r="K175" s="39" t="n">
        <v>4</v>
      </c>
    </row>
    <row r="176" customFormat="false" ht="15" hidden="false" customHeight="false" outlineLevel="0" collapsed="false">
      <c r="A176" s="39" t="s">
        <v>286</v>
      </c>
      <c r="B176" s="40" t="n">
        <v>46219</v>
      </c>
      <c r="C176" s="39" t="s">
        <v>49</v>
      </c>
      <c r="D176" s="39" t="s">
        <v>35</v>
      </c>
      <c r="E176" s="39" t="s">
        <v>159</v>
      </c>
      <c r="F176" s="39" t="n">
        <v>2</v>
      </c>
      <c r="G176" s="41" t="n">
        <v>458</v>
      </c>
      <c r="H176" s="42" t="n">
        <f aca="false">F176*G176</f>
        <v>916</v>
      </c>
      <c r="I176" s="39" t="s">
        <v>34</v>
      </c>
      <c r="J176" s="39" t="s">
        <v>42</v>
      </c>
      <c r="K176" s="39" t="n">
        <v>3</v>
      </c>
    </row>
    <row r="177" customFormat="false" ht="15" hidden="false" customHeight="false" outlineLevel="0" collapsed="false">
      <c r="A177" s="39" t="s">
        <v>287</v>
      </c>
      <c r="B177" s="40" t="n">
        <v>46219</v>
      </c>
      <c r="C177" s="39" t="s">
        <v>53</v>
      </c>
      <c r="D177" s="39" t="s">
        <v>33</v>
      </c>
      <c r="E177" s="39" t="s">
        <v>102</v>
      </c>
      <c r="F177" s="39" t="n">
        <v>1</v>
      </c>
      <c r="G177" s="41" t="n">
        <v>318</v>
      </c>
      <c r="H177" s="42" t="n">
        <f aca="false">F177*G177</f>
        <v>318</v>
      </c>
      <c r="I177" s="39" t="s">
        <v>34</v>
      </c>
      <c r="J177" s="39" t="s">
        <v>42</v>
      </c>
      <c r="K177" s="39" t="n">
        <v>4</v>
      </c>
    </row>
    <row r="178" customFormat="false" ht="15" hidden="false" customHeight="false" outlineLevel="0" collapsed="false">
      <c r="A178" s="39" t="s">
        <v>288</v>
      </c>
      <c r="B178" s="40" t="n">
        <v>46219</v>
      </c>
      <c r="C178" s="39" t="s">
        <v>101</v>
      </c>
      <c r="D178" s="39" t="s">
        <v>39</v>
      </c>
      <c r="E178" s="39" t="s">
        <v>129</v>
      </c>
      <c r="F178" s="39" t="n">
        <v>2</v>
      </c>
      <c r="G178" s="41" t="n">
        <v>1108</v>
      </c>
      <c r="H178" s="42" t="n">
        <f aca="false">F178*G178</f>
        <v>2216</v>
      </c>
      <c r="I178" s="39" t="s">
        <v>34</v>
      </c>
      <c r="J178" s="39" t="s">
        <v>42</v>
      </c>
      <c r="K178" s="39" t="n">
        <v>3</v>
      </c>
    </row>
    <row r="179" customFormat="false" ht="15" hidden="false" customHeight="false" outlineLevel="0" collapsed="false">
      <c r="A179" s="39" t="s">
        <v>289</v>
      </c>
      <c r="B179" s="40" t="n">
        <v>46220</v>
      </c>
      <c r="C179" s="39" t="s">
        <v>52</v>
      </c>
      <c r="D179" s="39" t="s">
        <v>33</v>
      </c>
      <c r="E179" s="39" t="s">
        <v>102</v>
      </c>
      <c r="F179" s="39" t="n">
        <v>1</v>
      </c>
      <c r="G179" s="41" t="n">
        <v>488</v>
      </c>
      <c r="H179" s="42" t="n">
        <f aca="false">F179*G179</f>
        <v>488</v>
      </c>
      <c r="I179" s="39" t="s">
        <v>34</v>
      </c>
      <c r="J179" s="39" t="s">
        <v>45</v>
      </c>
      <c r="K179" s="39"/>
    </row>
    <row r="180" customFormat="false" ht="15" hidden="false" customHeight="false" outlineLevel="0" collapsed="false">
      <c r="A180" s="39" t="s">
        <v>290</v>
      </c>
      <c r="B180" s="40" t="n">
        <v>46220</v>
      </c>
      <c r="C180" s="39" t="s">
        <v>49</v>
      </c>
      <c r="D180" s="39" t="s">
        <v>33</v>
      </c>
      <c r="E180" s="39" t="s">
        <v>114</v>
      </c>
      <c r="F180" s="39" t="n">
        <v>2</v>
      </c>
      <c r="G180" s="41" t="n">
        <v>618</v>
      </c>
      <c r="H180" s="42" t="n">
        <f aca="false">F180*G180</f>
        <v>1236</v>
      </c>
      <c r="I180" s="39" t="s">
        <v>34</v>
      </c>
      <c r="J180" s="39" t="s">
        <v>47</v>
      </c>
      <c r="K180" s="39"/>
    </row>
    <row r="181" customFormat="false" ht="15" hidden="false" customHeight="false" outlineLevel="0" collapsed="false">
      <c r="A181" s="39" t="s">
        <v>291</v>
      </c>
      <c r="B181" s="40" t="n">
        <v>46220</v>
      </c>
      <c r="C181" s="39" t="s">
        <v>48</v>
      </c>
      <c r="D181" s="39" t="s">
        <v>35</v>
      </c>
      <c r="E181" s="39" t="s">
        <v>159</v>
      </c>
      <c r="F181" s="39" t="n">
        <v>1</v>
      </c>
      <c r="G181" s="41" t="n">
        <v>418</v>
      </c>
      <c r="H181" s="42" t="n">
        <f aca="false">F181*G181</f>
        <v>418</v>
      </c>
      <c r="I181" s="39" t="s">
        <v>34</v>
      </c>
      <c r="J181" s="39" t="s">
        <v>42</v>
      </c>
      <c r="K181" s="39" t="n">
        <v>3</v>
      </c>
    </row>
    <row r="182" customFormat="false" ht="15" hidden="false" customHeight="false" outlineLevel="0" collapsed="false">
      <c r="A182" s="39" t="s">
        <v>292</v>
      </c>
      <c r="B182" s="40" t="n">
        <v>46220</v>
      </c>
      <c r="C182" s="39" t="s">
        <v>48</v>
      </c>
      <c r="D182" s="39" t="s">
        <v>37</v>
      </c>
      <c r="E182" s="39" t="s">
        <v>131</v>
      </c>
      <c r="F182" s="39" t="n">
        <v>1</v>
      </c>
      <c r="G182" s="41" t="n">
        <v>418</v>
      </c>
      <c r="H182" s="42" t="n">
        <f aca="false">F182*G182</f>
        <v>418</v>
      </c>
      <c r="I182" s="39" t="s">
        <v>34</v>
      </c>
      <c r="J182" s="39" t="s">
        <v>42</v>
      </c>
      <c r="K182" s="39" t="n">
        <v>2</v>
      </c>
    </row>
    <row r="183" customFormat="false" ht="15" hidden="false" customHeight="false" outlineLevel="0" collapsed="false">
      <c r="A183" s="39" t="s">
        <v>293</v>
      </c>
      <c r="B183" s="40" t="n">
        <v>46220</v>
      </c>
      <c r="C183" s="39" t="s">
        <v>49</v>
      </c>
      <c r="D183" s="39" t="s">
        <v>38</v>
      </c>
      <c r="E183" s="39" t="s">
        <v>110</v>
      </c>
      <c r="F183" s="39" t="n">
        <v>1</v>
      </c>
      <c r="G183" s="41" t="n">
        <v>768</v>
      </c>
      <c r="H183" s="42" t="n">
        <f aca="false">F183*G183</f>
        <v>768</v>
      </c>
      <c r="I183" s="39" t="s">
        <v>36</v>
      </c>
      <c r="J183" s="39" t="s">
        <v>42</v>
      </c>
      <c r="K183" s="39" t="n">
        <v>4</v>
      </c>
    </row>
    <row r="184" customFormat="false" ht="15" hidden="false" customHeight="false" outlineLevel="0" collapsed="false">
      <c r="A184" s="39" t="s">
        <v>294</v>
      </c>
      <c r="B184" s="40" t="n">
        <v>46220</v>
      </c>
      <c r="C184" s="39" t="s">
        <v>50</v>
      </c>
      <c r="D184" s="39" t="s">
        <v>38</v>
      </c>
      <c r="E184" s="39" t="s">
        <v>107</v>
      </c>
      <c r="F184" s="39" t="n">
        <v>1</v>
      </c>
      <c r="G184" s="41" t="n">
        <v>508</v>
      </c>
      <c r="H184" s="42" t="n">
        <f aca="false">F184*G184</f>
        <v>508</v>
      </c>
      <c r="I184" s="39" t="s">
        <v>36</v>
      </c>
      <c r="J184" s="39" t="s">
        <v>42</v>
      </c>
      <c r="K184" s="39" t="n">
        <v>4</v>
      </c>
    </row>
    <row r="185" customFormat="false" ht="15" hidden="false" customHeight="false" outlineLevel="0" collapsed="false">
      <c r="A185" s="39" t="s">
        <v>295</v>
      </c>
      <c r="B185" s="40" t="n">
        <v>46220</v>
      </c>
      <c r="C185" s="39" t="s">
        <v>51</v>
      </c>
      <c r="D185" s="39" t="s">
        <v>33</v>
      </c>
      <c r="E185" s="39" t="s">
        <v>102</v>
      </c>
      <c r="F185" s="39" t="n">
        <v>2</v>
      </c>
      <c r="G185" s="41" t="n">
        <v>638</v>
      </c>
      <c r="H185" s="42" t="n">
        <f aca="false">F185*G185</f>
        <v>1276</v>
      </c>
      <c r="I185" s="39" t="s">
        <v>34</v>
      </c>
      <c r="J185" s="39" t="s">
        <v>43</v>
      </c>
      <c r="K185" s="39" t="n">
        <v>4</v>
      </c>
    </row>
    <row r="186" customFormat="false" ht="15" hidden="false" customHeight="false" outlineLevel="0" collapsed="false">
      <c r="A186" s="39" t="s">
        <v>296</v>
      </c>
      <c r="B186" s="40" t="n">
        <v>46220</v>
      </c>
      <c r="C186" s="39" t="s">
        <v>50</v>
      </c>
      <c r="D186" s="39" t="s">
        <v>37</v>
      </c>
      <c r="E186" s="39" t="s">
        <v>97</v>
      </c>
      <c r="F186" s="39" t="n">
        <v>1</v>
      </c>
      <c r="G186" s="41" t="n">
        <v>308</v>
      </c>
      <c r="H186" s="42" t="n">
        <f aca="false">F186*G186</f>
        <v>308</v>
      </c>
      <c r="I186" s="39" t="s">
        <v>36</v>
      </c>
      <c r="J186" s="39" t="s">
        <v>42</v>
      </c>
      <c r="K186" s="39" t="n">
        <v>5</v>
      </c>
    </row>
    <row r="187" customFormat="false" ht="15" hidden="false" customHeight="false" outlineLevel="0" collapsed="false">
      <c r="A187" s="39" t="s">
        <v>297</v>
      </c>
      <c r="B187" s="40" t="n">
        <v>46220</v>
      </c>
      <c r="C187" s="39" t="s">
        <v>49</v>
      </c>
      <c r="D187" s="39" t="s">
        <v>33</v>
      </c>
      <c r="E187" s="39" t="s">
        <v>114</v>
      </c>
      <c r="F187" s="39" t="n">
        <v>1</v>
      </c>
      <c r="G187" s="41" t="n">
        <v>428</v>
      </c>
      <c r="H187" s="42" t="n">
        <f aca="false">F187*G187</f>
        <v>428</v>
      </c>
      <c r="I187" s="39" t="s">
        <v>34</v>
      </c>
      <c r="J187" s="39" t="s">
        <v>42</v>
      </c>
      <c r="K187" s="39" t="n">
        <v>5</v>
      </c>
    </row>
    <row r="188" customFormat="false" ht="15" hidden="false" customHeight="false" outlineLevel="0" collapsed="false">
      <c r="A188" s="39" t="s">
        <v>298</v>
      </c>
      <c r="B188" s="40" t="n">
        <v>46220</v>
      </c>
      <c r="C188" s="39" t="s">
        <v>53</v>
      </c>
      <c r="D188" s="39" t="s">
        <v>37</v>
      </c>
      <c r="E188" s="39" t="s">
        <v>131</v>
      </c>
      <c r="F188" s="39" t="n">
        <v>2</v>
      </c>
      <c r="G188" s="41" t="n">
        <v>518</v>
      </c>
      <c r="H188" s="42" t="n">
        <f aca="false">F188*G188</f>
        <v>1036</v>
      </c>
      <c r="I188" s="39" t="s">
        <v>34</v>
      </c>
      <c r="J188" s="39" t="s">
        <v>42</v>
      </c>
      <c r="K188" s="39" t="n">
        <v>5</v>
      </c>
    </row>
    <row r="189" customFormat="false" ht="15" hidden="false" customHeight="false" outlineLevel="0" collapsed="false">
      <c r="A189" s="39" t="s">
        <v>299</v>
      </c>
      <c r="B189" s="40" t="n">
        <v>46220</v>
      </c>
      <c r="C189" s="39" t="s">
        <v>101</v>
      </c>
      <c r="D189" s="39" t="s">
        <v>35</v>
      </c>
      <c r="E189" s="39" t="s">
        <v>95</v>
      </c>
      <c r="F189" s="39" t="n">
        <v>1</v>
      </c>
      <c r="G189" s="41" t="n">
        <v>628</v>
      </c>
      <c r="H189" s="42" t="n">
        <f aca="false">F189*G189</f>
        <v>628</v>
      </c>
      <c r="I189" s="39" t="s">
        <v>36</v>
      </c>
      <c r="J189" s="39" t="s">
        <v>47</v>
      </c>
      <c r="K189" s="39"/>
    </row>
    <row r="190" customFormat="false" ht="15" hidden="false" customHeight="false" outlineLevel="0" collapsed="false">
      <c r="A190" s="39" t="s">
        <v>300</v>
      </c>
      <c r="B190" s="40" t="n">
        <v>46220</v>
      </c>
      <c r="C190" s="39" t="s">
        <v>49</v>
      </c>
      <c r="D190" s="39" t="s">
        <v>38</v>
      </c>
      <c r="E190" s="39" t="s">
        <v>121</v>
      </c>
      <c r="F190" s="39" t="n">
        <v>1</v>
      </c>
      <c r="G190" s="41" t="n">
        <v>958</v>
      </c>
      <c r="H190" s="42" t="n">
        <f aca="false">F190*G190</f>
        <v>958</v>
      </c>
      <c r="I190" s="39" t="s">
        <v>34</v>
      </c>
      <c r="J190" s="39" t="s">
        <v>42</v>
      </c>
      <c r="K190" s="39" t="n">
        <v>4</v>
      </c>
    </row>
    <row r="191" customFormat="false" ht="15" hidden="false" customHeight="false" outlineLevel="0" collapsed="false">
      <c r="A191" s="39" t="s">
        <v>301</v>
      </c>
      <c r="B191" s="40" t="n">
        <v>46220</v>
      </c>
      <c r="C191" s="39" t="s">
        <v>49</v>
      </c>
      <c r="D191" s="39" t="s">
        <v>35</v>
      </c>
      <c r="E191" s="39" t="s">
        <v>125</v>
      </c>
      <c r="F191" s="39" t="n">
        <v>1</v>
      </c>
      <c r="G191" s="41" t="n">
        <v>418</v>
      </c>
      <c r="H191" s="42" t="n">
        <f aca="false">F191*G191</f>
        <v>418</v>
      </c>
      <c r="I191" s="39" t="s">
        <v>34</v>
      </c>
      <c r="J191" s="39" t="s">
        <v>42</v>
      </c>
      <c r="K191" s="39" t="n">
        <v>5</v>
      </c>
    </row>
    <row r="192" customFormat="false" ht="15" hidden="false" customHeight="false" outlineLevel="0" collapsed="false">
      <c r="A192" s="39" t="s">
        <v>302</v>
      </c>
      <c r="B192" s="40" t="n">
        <v>46220</v>
      </c>
      <c r="C192" s="39" t="s">
        <v>48</v>
      </c>
      <c r="D192" s="39" t="s">
        <v>38</v>
      </c>
      <c r="E192" s="39" t="s">
        <v>121</v>
      </c>
      <c r="F192" s="39" t="n">
        <v>1</v>
      </c>
      <c r="G192" s="41" t="n">
        <v>518</v>
      </c>
      <c r="H192" s="42" t="n">
        <f aca="false">F192*G192</f>
        <v>518</v>
      </c>
      <c r="I192" s="39" t="s">
        <v>36</v>
      </c>
      <c r="J192" s="39" t="s">
        <v>42</v>
      </c>
      <c r="K192" s="39" t="n">
        <v>6</v>
      </c>
    </row>
    <row r="193" customFormat="false" ht="15" hidden="false" customHeight="false" outlineLevel="0" collapsed="false">
      <c r="A193" s="39" t="s">
        <v>303</v>
      </c>
      <c r="B193" s="40" t="n">
        <v>46221</v>
      </c>
      <c r="C193" s="39" t="s">
        <v>49</v>
      </c>
      <c r="D193" s="39" t="s">
        <v>38</v>
      </c>
      <c r="E193" s="39" t="s">
        <v>121</v>
      </c>
      <c r="F193" s="39" t="n">
        <v>1</v>
      </c>
      <c r="G193" s="41" t="n">
        <v>798</v>
      </c>
      <c r="H193" s="42" t="n">
        <f aca="false">F193*G193</f>
        <v>798</v>
      </c>
      <c r="I193" s="39" t="s">
        <v>34</v>
      </c>
      <c r="J193" s="39" t="s">
        <v>42</v>
      </c>
      <c r="K193" s="39" t="n">
        <v>6</v>
      </c>
    </row>
    <row r="194" customFormat="false" ht="15" hidden="false" customHeight="false" outlineLevel="0" collapsed="false">
      <c r="A194" s="39" t="s">
        <v>304</v>
      </c>
      <c r="B194" s="40" t="n">
        <v>46221</v>
      </c>
      <c r="C194" s="39" t="s">
        <v>49</v>
      </c>
      <c r="D194" s="39" t="s">
        <v>39</v>
      </c>
      <c r="E194" s="39" t="s">
        <v>105</v>
      </c>
      <c r="F194" s="39" t="n">
        <v>2</v>
      </c>
      <c r="G194" s="41" t="n">
        <v>838</v>
      </c>
      <c r="H194" s="42" t="n">
        <f aca="false">F194*G194</f>
        <v>1676</v>
      </c>
      <c r="I194" s="39" t="s">
        <v>36</v>
      </c>
      <c r="J194" s="39" t="s">
        <v>42</v>
      </c>
      <c r="K194" s="39" t="n">
        <v>4</v>
      </c>
    </row>
    <row r="195" customFormat="false" ht="15" hidden="false" customHeight="false" outlineLevel="0" collapsed="false">
      <c r="A195" s="39" t="s">
        <v>305</v>
      </c>
      <c r="B195" s="40" t="n">
        <v>46221</v>
      </c>
      <c r="C195" s="39" t="s">
        <v>51</v>
      </c>
      <c r="D195" s="39" t="s">
        <v>33</v>
      </c>
      <c r="E195" s="39" t="s">
        <v>114</v>
      </c>
      <c r="F195" s="39" t="n">
        <v>1</v>
      </c>
      <c r="G195" s="41" t="n">
        <v>498</v>
      </c>
      <c r="H195" s="42" t="n">
        <f aca="false">F195*G195</f>
        <v>498</v>
      </c>
      <c r="I195" s="39" t="s">
        <v>36</v>
      </c>
      <c r="J195" s="39" t="s">
        <v>42</v>
      </c>
      <c r="K195" s="39" t="n">
        <v>5</v>
      </c>
    </row>
    <row r="196" customFormat="false" ht="15" hidden="false" customHeight="false" outlineLevel="0" collapsed="false">
      <c r="A196" s="39" t="s">
        <v>306</v>
      </c>
      <c r="B196" s="40" t="n">
        <v>46221</v>
      </c>
      <c r="C196" s="39" t="s">
        <v>51</v>
      </c>
      <c r="D196" s="39" t="s">
        <v>35</v>
      </c>
      <c r="E196" s="39" t="s">
        <v>95</v>
      </c>
      <c r="F196" s="39" t="n">
        <v>2</v>
      </c>
      <c r="G196" s="41" t="n">
        <v>408</v>
      </c>
      <c r="H196" s="42" t="n">
        <f aca="false">F196*G196</f>
        <v>816</v>
      </c>
      <c r="I196" s="39" t="s">
        <v>34</v>
      </c>
      <c r="J196" s="39" t="s">
        <v>42</v>
      </c>
      <c r="K196" s="39" t="n">
        <v>2</v>
      </c>
    </row>
    <row r="197" customFormat="false" ht="15" hidden="false" customHeight="false" outlineLevel="0" collapsed="false">
      <c r="A197" s="39" t="s">
        <v>307</v>
      </c>
      <c r="B197" s="40" t="n">
        <v>46221</v>
      </c>
      <c r="C197" s="39" t="s">
        <v>53</v>
      </c>
      <c r="D197" s="39" t="s">
        <v>33</v>
      </c>
      <c r="E197" s="39" t="s">
        <v>102</v>
      </c>
      <c r="F197" s="39" t="n">
        <v>1</v>
      </c>
      <c r="G197" s="41" t="n">
        <v>838</v>
      </c>
      <c r="H197" s="42" t="n">
        <f aca="false">F197*G197</f>
        <v>838</v>
      </c>
      <c r="I197" s="39" t="s">
        <v>34</v>
      </c>
      <c r="J197" s="39" t="s">
        <v>42</v>
      </c>
      <c r="K197" s="39" t="n">
        <v>4</v>
      </c>
    </row>
    <row r="198" customFormat="false" ht="15" hidden="false" customHeight="false" outlineLevel="0" collapsed="false">
      <c r="A198" s="39" t="s">
        <v>308</v>
      </c>
      <c r="B198" s="40" t="n">
        <v>46221</v>
      </c>
      <c r="C198" s="39" t="s">
        <v>53</v>
      </c>
      <c r="D198" s="39" t="s">
        <v>35</v>
      </c>
      <c r="E198" s="39" t="s">
        <v>125</v>
      </c>
      <c r="F198" s="39" t="n">
        <v>1</v>
      </c>
      <c r="G198" s="41" t="n">
        <v>658</v>
      </c>
      <c r="H198" s="42" t="n">
        <f aca="false">F198*G198</f>
        <v>658</v>
      </c>
      <c r="I198" s="39" t="s">
        <v>34</v>
      </c>
      <c r="J198" s="39" t="s">
        <v>42</v>
      </c>
      <c r="K198" s="39" t="n">
        <v>3</v>
      </c>
    </row>
    <row r="199" customFormat="false" ht="15" hidden="false" customHeight="false" outlineLevel="0" collapsed="false">
      <c r="A199" s="39" t="s">
        <v>309</v>
      </c>
      <c r="B199" s="40" t="n">
        <v>46221</v>
      </c>
      <c r="C199" s="39" t="s">
        <v>52</v>
      </c>
      <c r="D199" s="39" t="s">
        <v>35</v>
      </c>
      <c r="E199" s="39" t="s">
        <v>159</v>
      </c>
      <c r="F199" s="39" t="n">
        <v>1</v>
      </c>
      <c r="G199" s="41" t="n">
        <v>788</v>
      </c>
      <c r="H199" s="42" t="n">
        <f aca="false">F199*G199</f>
        <v>788</v>
      </c>
      <c r="I199" s="39" t="s">
        <v>36</v>
      </c>
      <c r="J199" s="39" t="s">
        <v>43</v>
      </c>
      <c r="K199" s="39" t="n">
        <v>3</v>
      </c>
    </row>
    <row r="200" customFormat="false" ht="15" hidden="false" customHeight="false" outlineLevel="0" collapsed="false">
      <c r="A200" s="39" t="s">
        <v>310</v>
      </c>
      <c r="B200" s="40" t="n">
        <v>46221</v>
      </c>
      <c r="C200" s="39" t="s">
        <v>49</v>
      </c>
      <c r="D200" s="39" t="s">
        <v>38</v>
      </c>
      <c r="E200" s="39" t="s">
        <v>107</v>
      </c>
      <c r="F200" s="39" t="n">
        <v>1</v>
      </c>
      <c r="G200" s="41" t="n">
        <v>668</v>
      </c>
      <c r="H200" s="42" t="n">
        <f aca="false">F200*G200</f>
        <v>668</v>
      </c>
      <c r="I200" s="39" t="s">
        <v>34</v>
      </c>
      <c r="J200" s="39" t="s">
        <v>42</v>
      </c>
      <c r="K200" s="39" t="n">
        <v>5</v>
      </c>
    </row>
    <row r="201" customFormat="false" ht="15" hidden="false" customHeight="false" outlineLevel="0" collapsed="false">
      <c r="A201" s="39" t="s">
        <v>311</v>
      </c>
      <c r="B201" s="40" t="n">
        <v>46221</v>
      </c>
      <c r="C201" s="39" t="s">
        <v>51</v>
      </c>
      <c r="D201" s="39" t="s">
        <v>35</v>
      </c>
      <c r="E201" s="39" t="s">
        <v>159</v>
      </c>
      <c r="F201" s="39" t="n">
        <v>1</v>
      </c>
      <c r="G201" s="41" t="n">
        <v>408</v>
      </c>
      <c r="H201" s="42" t="n">
        <f aca="false">F201*G201</f>
        <v>408</v>
      </c>
      <c r="I201" s="39" t="s">
        <v>34</v>
      </c>
      <c r="J201" s="39" t="s">
        <v>42</v>
      </c>
      <c r="K201" s="39" t="n">
        <v>3</v>
      </c>
    </row>
    <row r="202" customFormat="false" ht="15" hidden="false" customHeight="false" outlineLevel="0" collapsed="false">
      <c r="A202" s="39" t="s">
        <v>312</v>
      </c>
      <c r="B202" s="40" t="n">
        <v>46221</v>
      </c>
      <c r="C202" s="39" t="s">
        <v>109</v>
      </c>
      <c r="D202" s="39" t="s">
        <v>33</v>
      </c>
      <c r="E202" s="39" t="s">
        <v>136</v>
      </c>
      <c r="F202" s="39" t="n">
        <v>1</v>
      </c>
      <c r="G202" s="41" t="n">
        <v>598</v>
      </c>
      <c r="H202" s="42" t="n">
        <f aca="false">F202*G202</f>
        <v>598</v>
      </c>
      <c r="I202" s="39" t="s">
        <v>36</v>
      </c>
      <c r="J202" s="39" t="s">
        <v>45</v>
      </c>
      <c r="K202" s="39"/>
    </row>
    <row r="203" customFormat="false" ht="15" hidden="false" customHeight="false" outlineLevel="0" collapsed="false">
      <c r="A203" s="39" t="s">
        <v>313</v>
      </c>
      <c r="B203" s="40" t="n">
        <v>46221</v>
      </c>
      <c r="C203" s="39" t="s">
        <v>101</v>
      </c>
      <c r="D203" s="39" t="s">
        <v>35</v>
      </c>
      <c r="E203" s="39" t="s">
        <v>159</v>
      </c>
      <c r="F203" s="39" t="n">
        <v>1</v>
      </c>
      <c r="G203" s="41" t="n">
        <v>708</v>
      </c>
      <c r="H203" s="42" t="n">
        <f aca="false">F203*G203</f>
        <v>708</v>
      </c>
      <c r="I203" s="39" t="s">
        <v>36</v>
      </c>
      <c r="J203" s="39" t="s">
        <v>42</v>
      </c>
      <c r="K203" s="39" t="n">
        <v>2</v>
      </c>
    </row>
    <row r="204" customFormat="false" ht="15" hidden="false" customHeight="false" outlineLevel="0" collapsed="false">
      <c r="A204" s="39" t="s">
        <v>314</v>
      </c>
      <c r="B204" s="40" t="n">
        <v>46221</v>
      </c>
      <c r="C204" s="39" t="s">
        <v>50</v>
      </c>
      <c r="D204" s="39" t="s">
        <v>35</v>
      </c>
      <c r="E204" s="39" t="s">
        <v>125</v>
      </c>
      <c r="F204" s="39" t="n">
        <v>3</v>
      </c>
      <c r="G204" s="41" t="n">
        <v>258</v>
      </c>
      <c r="H204" s="42" t="n">
        <f aca="false">F204*G204</f>
        <v>774</v>
      </c>
      <c r="I204" s="39" t="s">
        <v>34</v>
      </c>
      <c r="J204" s="39" t="s">
        <v>42</v>
      </c>
      <c r="K204" s="39" t="n">
        <v>3</v>
      </c>
    </row>
    <row r="205" customFormat="false" ht="15" hidden="false" customHeight="false" outlineLevel="0" collapsed="false">
      <c r="A205" s="39" t="s">
        <v>315</v>
      </c>
      <c r="B205" s="40" t="n">
        <v>46221</v>
      </c>
      <c r="C205" s="39" t="s">
        <v>49</v>
      </c>
      <c r="D205" s="39" t="s">
        <v>37</v>
      </c>
      <c r="E205" s="39" t="s">
        <v>131</v>
      </c>
      <c r="F205" s="39" t="n">
        <v>1</v>
      </c>
      <c r="G205" s="41" t="n">
        <v>318</v>
      </c>
      <c r="H205" s="42" t="n">
        <f aca="false">F205*G205</f>
        <v>318</v>
      </c>
      <c r="I205" s="39" t="s">
        <v>36</v>
      </c>
      <c r="J205" s="39" t="s">
        <v>42</v>
      </c>
      <c r="K205" s="39" t="n">
        <v>5</v>
      </c>
    </row>
    <row r="206" customFormat="false" ht="15" hidden="false" customHeight="false" outlineLevel="0" collapsed="false">
      <c r="A206" s="39" t="s">
        <v>316</v>
      </c>
      <c r="B206" s="40" t="n">
        <v>46221</v>
      </c>
      <c r="C206" s="39" t="s">
        <v>52</v>
      </c>
      <c r="D206" s="39" t="s">
        <v>33</v>
      </c>
      <c r="E206" s="39" t="s">
        <v>136</v>
      </c>
      <c r="F206" s="39" t="n">
        <v>2</v>
      </c>
      <c r="G206" s="41" t="n">
        <v>738</v>
      </c>
      <c r="H206" s="42" t="n">
        <f aca="false">F206*G206</f>
        <v>1476</v>
      </c>
      <c r="I206" s="39" t="s">
        <v>36</v>
      </c>
      <c r="J206" s="39" t="s">
        <v>47</v>
      </c>
      <c r="K206" s="39"/>
    </row>
    <row r="207" customFormat="false" ht="15" hidden="false" customHeight="false" outlineLevel="0" collapsed="false">
      <c r="A207" s="39" t="s">
        <v>317</v>
      </c>
      <c r="B207" s="40" t="n">
        <v>46221</v>
      </c>
      <c r="C207" s="39" t="s">
        <v>48</v>
      </c>
      <c r="D207" s="39" t="s">
        <v>33</v>
      </c>
      <c r="E207" s="39" t="s">
        <v>114</v>
      </c>
      <c r="F207" s="39" t="n">
        <v>2</v>
      </c>
      <c r="G207" s="41" t="n">
        <v>598</v>
      </c>
      <c r="H207" s="42" t="n">
        <f aca="false">F207*G207</f>
        <v>1196</v>
      </c>
      <c r="I207" s="39" t="s">
        <v>34</v>
      </c>
      <c r="J207" s="39" t="s">
        <v>42</v>
      </c>
      <c r="K207" s="39" t="n">
        <v>5</v>
      </c>
    </row>
    <row r="208" customFormat="false" ht="15" hidden="false" customHeight="false" outlineLevel="0" collapsed="false">
      <c r="A208" s="39" t="s">
        <v>318</v>
      </c>
      <c r="B208" s="40" t="n">
        <v>46221</v>
      </c>
      <c r="C208" s="39" t="s">
        <v>50</v>
      </c>
      <c r="D208" s="39" t="s">
        <v>35</v>
      </c>
      <c r="E208" s="39" t="s">
        <v>125</v>
      </c>
      <c r="F208" s="39" t="n">
        <v>1</v>
      </c>
      <c r="G208" s="41" t="n">
        <v>378</v>
      </c>
      <c r="H208" s="42" t="n">
        <f aca="false">F208*G208</f>
        <v>378</v>
      </c>
      <c r="I208" s="39" t="s">
        <v>34</v>
      </c>
      <c r="J208" s="39" t="s">
        <v>42</v>
      </c>
      <c r="K208" s="39" t="n">
        <v>4</v>
      </c>
    </row>
    <row r="209" customFormat="false" ht="15" hidden="false" customHeight="false" outlineLevel="0" collapsed="false">
      <c r="A209" s="39" t="s">
        <v>319</v>
      </c>
      <c r="B209" s="40" t="n">
        <v>46221</v>
      </c>
      <c r="C209" s="39" t="s">
        <v>51</v>
      </c>
      <c r="D209" s="39" t="s">
        <v>33</v>
      </c>
      <c r="E209" s="39" t="s">
        <v>114</v>
      </c>
      <c r="F209" s="39" t="n">
        <v>1</v>
      </c>
      <c r="G209" s="41" t="n">
        <v>638</v>
      </c>
      <c r="H209" s="42" t="n">
        <f aca="false">F209*G209</f>
        <v>638</v>
      </c>
      <c r="I209" s="39" t="s">
        <v>36</v>
      </c>
      <c r="J209" s="39" t="s">
        <v>45</v>
      </c>
      <c r="K209" s="39"/>
    </row>
    <row r="210" customFormat="false" ht="15" hidden="false" customHeight="false" outlineLevel="0" collapsed="false">
      <c r="A210" s="39" t="s">
        <v>320</v>
      </c>
      <c r="B210" s="40" t="n">
        <v>46221</v>
      </c>
      <c r="C210" s="39" t="s">
        <v>51</v>
      </c>
      <c r="D210" s="39" t="s">
        <v>37</v>
      </c>
      <c r="E210" s="39" t="s">
        <v>97</v>
      </c>
      <c r="F210" s="39" t="n">
        <v>1</v>
      </c>
      <c r="G210" s="41" t="n">
        <v>548</v>
      </c>
      <c r="H210" s="42" t="n">
        <f aca="false">F210*G210</f>
        <v>548</v>
      </c>
      <c r="I210" s="39" t="s">
        <v>34</v>
      </c>
      <c r="J210" s="39" t="s">
        <v>42</v>
      </c>
      <c r="K210" s="39" t="n">
        <v>4</v>
      </c>
    </row>
    <row r="211" customFormat="false" ht="15" hidden="false" customHeight="false" outlineLevel="0" collapsed="false">
      <c r="A211" s="39" t="s">
        <v>321</v>
      </c>
      <c r="B211" s="40" t="n">
        <v>46221</v>
      </c>
      <c r="C211" s="39" t="s">
        <v>48</v>
      </c>
      <c r="D211" s="39" t="s">
        <v>33</v>
      </c>
      <c r="E211" s="39" t="s">
        <v>114</v>
      </c>
      <c r="F211" s="39" t="n">
        <v>1</v>
      </c>
      <c r="G211" s="41" t="n">
        <v>858</v>
      </c>
      <c r="H211" s="42" t="n">
        <f aca="false">F211*G211</f>
        <v>858</v>
      </c>
      <c r="I211" s="39" t="s">
        <v>36</v>
      </c>
      <c r="J211" s="39" t="s">
        <v>42</v>
      </c>
      <c r="K211" s="39" t="n">
        <v>4</v>
      </c>
    </row>
    <row r="212" customFormat="false" ht="15" hidden="false" customHeight="false" outlineLevel="0" collapsed="false">
      <c r="A212" s="39" t="s">
        <v>322</v>
      </c>
      <c r="B212" s="40" t="n">
        <v>46221</v>
      </c>
      <c r="C212" s="39" t="s">
        <v>48</v>
      </c>
      <c r="D212" s="39" t="s">
        <v>33</v>
      </c>
      <c r="E212" s="39" t="s">
        <v>136</v>
      </c>
      <c r="F212" s="39" t="n">
        <v>2</v>
      </c>
      <c r="G212" s="41" t="n">
        <v>398</v>
      </c>
      <c r="H212" s="42" t="n">
        <f aca="false">F212*G212</f>
        <v>796</v>
      </c>
      <c r="I212" s="39" t="s">
        <v>34</v>
      </c>
      <c r="J212" s="39" t="s">
        <v>43</v>
      </c>
      <c r="K212" s="39" t="n">
        <v>5</v>
      </c>
    </row>
    <row r="213" customFormat="false" ht="15" hidden="false" customHeight="false" outlineLevel="0" collapsed="false">
      <c r="A213" s="39" t="s">
        <v>323</v>
      </c>
      <c r="B213" s="40" t="n">
        <v>46222</v>
      </c>
      <c r="C213" s="39" t="s">
        <v>53</v>
      </c>
      <c r="D213" s="39" t="s">
        <v>33</v>
      </c>
      <c r="E213" s="39" t="s">
        <v>102</v>
      </c>
      <c r="F213" s="39" t="n">
        <v>1</v>
      </c>
      <c r="G213" s="41" t="n">
        <v>668</v>
      </c>
      <c r="H213" s="42" t="n">
        <f aca="false">F213*G213</f>
        <v>668</v>
      </c>
      <c r="I213" s="39" t="s">
        <v>36</v>
      </c>
      <c r="J213" s="39" t="s">
        <v>42</v>
      </c>
      <c r="K213" s="39" t="n">
        <v>2</v>
      </c>
    </row>
    <row r="214" customFormat="false" ht="15" hidden="false" customHeight="false" outlineLevel="0" collapsed="false">
      <c r="A214" s="39" t="s">
        <v>324</v>
      </c>
      <c r="B214" s="40" t="n">
        <v>46222</v>
      </c>
      <c r="C214" s="39" t="s">
        <v>48</v>
      </c>
      <c r="D214" s="39" t="s">
        <v>37</v>
      </c>
      <c r="E214" s="39" t="s">
        <v>131</v>
      </c>
      <c r="F214" s="39" t="n">
        <v>2</v>
      </c>
      <c r="G214" s="41" t="n">
        <v>428</v>
      </c>
      <c r="H214" s="42" t="n">
        <f aca="false">F214*G214</f>
        <v>856</v>
      </c>
      <c r="I214" s="39" t="s">
        <v>36</v>
      </c>
      <c r="J214" s="39" t="s">
        <v>42</v>
      </c>
      <c r="K214" s="39" t="n">
        <v>4</v>
      </c>
    </row>
    <row r="215" customFormat="false" ht="15" hidden="false" customHeight="false" outlineLevel="0" collapsed="false">
      <c r="A215" s="39" t="s">
        <v>325</v>
      </c>
      <c r="B215" s="40" t="n">
        <v>46222</v>
      </c>
      <c r="C215" s="39" t="s">
        <v>52</v>
      </c>
      <c r="D215" s="39" t="s">
        <v>35</v>
      </c>
      <c r="E215" s="39" t="s">
        <v>159</v>
      </c>
      <c r="F215" s="39" t="n">
        <v>3</v>
      </c>
      <c r="G215" s="41" t="n">
        <v>738</v>
      </c>
      <c r="H215" s="42" t="n">
        <f aca="false">F215*G215</f>
        <v>2214</v>
      </c>
      <c r="I215" s="39" t="s">
        <v>34</v>
      </c>
      <c r="J215" s="39" t="s">
        <v>42</v>
      </c>
      <c r="K215" s="39" t="n">
        <v>3</v>
      </c>
    </row>
    <row r="216" customFormat="false" ht="15" hidden="false" customHeight="false" outlineLevel="0" collapsed="false">
      <c r="A216" s="39" t="s">
        <v>326</v>
      </c>
      <c r="B216" s="40" t="n">
        <v>46222</v>
      </c>
      <c r="C216" s="39" t="s">
        <v>109</v>
      </c>
      <c r="D216" s="39" t="s">
        <v>33</v>
      </c>
      <c r="E216" s="39" t="s">
        <v>136</v>
      </c>
      <c r="F216" s="39" t="n">
        <v>1</v>
      </c>
      <c r="G216" s="41" t="n">
        <v>518</v>
      </c>
      <c r="H216" s="42" t="n">
        <f aca="false">F216*G216</f>
        <v>518</v>
      </c>
      <c r="I216" s="39" t="s">
        <v>34</v>
      </c>
      <c r="J216" s="39" t="s">
        <v>42</v>
      </c>
      <c r="K216" s="39" t="n">
        <v>3</v>
      </c>
    </row>
    <row r="217" customFormat="false" ht="15" hidden="false" customHeight="false" outlineLevel="0" collapsed="false">
      <c r="A217" s="39" t="s">
        <v>327</v>
      </c>
      <c r="B217" s="40" t="n">
        <v>46222</v>
      </c>
      <c r="C217" s="39" t="s">
        <v>49</v>
      </c>
      <c r="D217" s="39" t="s">
        <v>39</v>
      </c>
      <c r="E217" s="39" t="s">
        <v>129</v>
      </c>
      <c r="F217" s="39" t="n">
        <v>1</v>
      </c>
      <c r="G217" s="41" t="n">
        <v>1128</v>
      </c>
      <c r="H217" s="42" t="n">
        <f aca="false">F217*G217</f>
        <v>1128</v>
      </c>
      <c r="I217" s="39" t="s">
        <v>34</v>
      </c>
      <c r="J217" s="39" t="s">
        <v>42</v>
      </c>
      <c r="K217" s="39" t="n">
        <v>3</v>
      </c>
    </row>
    <row r="218" customFormat="false" ht="15" hidden="false" customHeight="false" outlineLevel="0" collapsed="false">
      <c r="A218" s="39" t="s">
        <v>328</v>
      </c>
      <c r="B218" s="40" t="n">
        <v>46222</v>
      </c>
      <c r="C218" s="39" t="s">
        <v>53</v>
      </c>
      <c r="D218" s="39" t="s">
        <v>33</v>
      </c>
      <c r="E218" s="39" t="s">
        <v>117</v>
      </c>
      <c r="F218" s="39" t="n">
        <v>1</v>
      </c>
      <c r="G218" s="41" t="n">
        <v>748</v>
      </c>
      <c r="H218" s="42" t="n">
        <f aca="false">F218*G218</f>
        <v>748</v>
      </c>
      <c r="I218" s="39" t="s">
        <v>36</v>
      </c>
      <c r="J218" s="39" t="s">
        <v>42</v>
      </c>
      <c r="K218" s="39" t="n">
        <v>3</v>
      </c>
    </row>
    <row r="219" customFormat="false" ht="15" hidden="false" customHeight="false" outlineLevel="0" collapsed="false">
      <c r="A219" s="39" t="s">
        <v>329</v>
      </c>
      <c r="B219" s="40" t="n">
        <v>46222</v>
      </c>
      <c r="C219" s="39" t="s">
        <v>53</v>
      </c>
      <c r="D219" s="39" t="s">
        <v>33</v>
      </c>
      <c r="E219" s="39" t="s">
        <v>136</v>
      </c>
      <c r="F219" s="39" t="n">
        <v>1</v>
      </c>
      <c r="G219" s="41" t="n">
        <v>678</v>
      </c>
      <c r="H219" s="42" t="n">
        <f aca="false">F219*G219</f>
        <v>678</v>
      </c>
      <c r="I219" s="39" t="s">
        <v>36</v>
      </c>
      <c r="J219" s="39" t="s">
        <v>42</v>
      </c>
      <c r="K219" s="39" t="n">
        <v>6</v>
      </c>
    </row>
    <row r="220" customFormat="false" ht="15" hidden="false" customHeight="false" outlineLevel="0" collapsed="false">
      <c r="A220" s="39" t="s">
        <v>330</v>
      </c>
      <c r="B220" s="40" t="n">
        <v>46222</v>
      </c>
      <c r="C220" s="39" t="s">
        <v>101</v>
      </c>
      <c r="D220" s="39" t="s">
        <v>33</v>
      </c>
      <c r="E220" s="39" t="s">
        <v>136</v>
      </c>
      <c r="F220" s="39" t="n">
        <v>1</v>
      </c>
      <c r="G220" s="41" t="n">
        <v>518</v>
      </c>
      <c r="H220" s="42" t="n">
        <f aca="false">F220*G220</f>
        <v>518</v>
      </c>
      <c r="I220" s="39" t="s">
        <v>34</v>
      </c>
      <c r="J220" s="39" t="s">
        <v>42</v>
      </c>
      <c r="K220" s="39" t="n">
        <v>5</v>
      </c>
    </row>
    <row r="221" customFormat="false" ht="15" hidden="false" customHeight="false" outlineLevel="0" collapsed="false">
      <c r="A221" s="39" t="s">
        <v>331</v>
      </c>
      <c r="B221" s="40" t="n">
        <v>46222</v>
      </c>
      <c r="C221" s="39" t="s">
        <v>53</v>
      </c>
      <c r="D221" s="39" t="s">
        <v>37</v>
      </c>
      <c r="E221" s="39" t="s">
        <v>131</v>
      </c>
      <c r="F221" s="39" t="n">
        <v>1</v>
      </c>
      <c r="G221" s="41" t="n">
        <v>298</v>
      </c>
      <c r="H221" s="42" t="n">
        <f aca="false">F221*G221</f>
        <v>298</v>
      </c>
      <c r="I221" s="39" t="s">
        <v>34</v>
      </c>
      <c r="J221" s="39" t="s">
        <v>42</v>
      </c>
      <c r="K221" s="39" t="n">
        <v>6</v>
      </c>
    </row>
    <row r="222" customFormat="false" ht="15" hidden="false" customHeight="false" outlineLevel="0" collapsed="false">
      <c r="A222" s="39" t="s">
        <v>332</v>
      </c>
      <c r="B222" s="40" t="n">
        <v>46222</v>
      </c>
      <c r="C222" s="39" t="s">
        <v>50</v>
      </c>
      <c r="D222" s="39" t="s">
        <v>38</v>
      </c>
      <c r="E222" s="39" t="s">
        <v>110</v>
      </c>
      <c r="F222" s="39" t="n">
        <v>2</v>
      </c>
      <c r="G222" s="41" t="n">
        <v>408</v>
      </c>
      <c r="H222" s="42" t="n">
        <f aca="false">F222*G222</f>
        <v>816</v>
      </c>
      <c r="I222" s="39" t="s">
        <v>34</v>
      </c>
      <c r="J222" s="39" t="s">
        <v>43</v>
      </c>
      <c r="K222" s="39" t="n">
        <v>4</v>
      </c>
    </row>
    <row r="223" customFormat="false" ht="15" hidden="false" customHeight="false" outlineLevel="0" collapsed="false">
      <c r="A223" s="39" t="s">
        <v>333</v>
      </c>
      <c r="B223" s="40" t="n">
        <v>46222</v>
      </c>
      <c r="C223" s="39" t="s">
        <v>51</v>
      </c>
      <c r="D223" s="39" t="s">
        <v>33</v>
      </c>
      <c r="E223" s="39" t="s">
        <v>117</v>
      </c>
      <c r="F223" s="39" t="n">
        <v>1</v>
      </c>
      <c r="G223" s="41" t="n">
        <v>788</v>
      </c>
      <c r="H223" s="42" t="n">
        <f aca="false">F223*G223</f>
        <v>788</v>
      </c>
      <c r="I223" s="39" t="s">
        <v>34</v>
      </c>
      <c r="J223" s="39" t="s">
        <v>42</v>
      </c>
      <c r="K223" s="39" t="n">
        <v>3</v>
      </c>
    </row>
    <row r="224" customFormat="false" ht="15" hidden="false" customHeight="false" outlineLevel="0" collapsed="false">
      <c r="A224" s="39" t="s">
        <v>334</v>
      </c>
      <c r="B224" s="40" t="n">
        <v>46222</v>
      </c>
      <c r="C224" s="39" t="s">
        <v>53</v>
      </c>
      <c r="D224" s="39" t="s">
        <v>39</v>
      </c>
      <c r="E224" s="39" t="s">
        <v>99</v>
      </c>
      <c r="F224" s="39" t="n">
        <v>1</v>
      </c>
      <c r="G224" s="41" t="n">
        <v>1188</v>
      </c>
      <c r="H224" s="42" t="n">
        <f aca="false">F224*G224</f>
        <v>1188</v>
      </c>
      <c r="I224" s="39" t="s">
        <v>36</v>
      </c>
      <c r="J224" s="39" t="s">
        <v>47</v>
      </c>
      <c r="K224" s="39"/>
    </row>
    <row r="225" customFormat="false" ht="15" hidden="false" customHeight="false" outlineLevel="0" collapsed="false">
      <c r="A225" s="39" t="s">
        <v>335</v>
      </c>
      <c r="B225" s="40" t="n">
        <v>46222</v>
      </c>
      <c r="C225" s="39" t="s">
        <v>51</v>
      </c>
      <c r="D225" s="39" t="s">
        <v>37</v>
      </c>
      <c r="E225" s="39" t="s">
        <v>97</v>
      </c>
      <c r="F225" s="39" t="n">
        <v>1</v>
      </c>
      <c r="G225" s="41" t="n">
        <v>618</v>
      </c>
      <c r="H225" s="42" t="n">
        <f aca="false">F225*G225</f>
        <v>618</v>
      </c>
      <c r="I225" s="39" t="s">
        <v>34</v>
      </c>
      <c r="J225" s="39" t="s">
        <v>42</v>
      </c>
      <c r="K225" s="39" t="n">
        <v>4</v>
      </c>
    </row>
    <row r="226" customFormat="false" ht="15" hidden="false" customHeight="false" outlineLevel="0" collapsed="false">
      <c r="A226" s="39" t="s">
        <v>336</v>
      </c>
      <c r="B226" s="40" t="n">
        <v>46222</v>
      </c>
      <c r="C226" s="39" t="s">
        <v>52</v>
      </c>
      <c r="D226" s="39" t="s">
        <v>37</v>
      </c>
      <c r="E226" s="39" t="s">
        <v>131</v>
      </c>
      <c r="F226" s="39" t="n">
        <v>1</v>
      </c>
      <c r="G226" s="41" t="n">
        <v>458</v>
      </c>
      <c r="H226" s="42" t="n">
        <f aca="false">F226*G226</f>
        <v>458</v>
      </c>
      <c r="I226" s="39" t="s">
        <v>36</v>
      </c>
      <c r="J226" s="39" t="s">
        <v>42</v>
      </c>
      <c r="K226" s="39" t="n">
        <v>5</v>
      </c>
    </row>
    <row r="227" customFormat="false" ht="15" hidden="false" customHeight="false" outlineLevel="0" collapsed="false">
      <c r="A227" s="39" t="s">
        <v>337</v>
      </c>
      <c r="B227" s="40" t="n">
        <v>46223</v>
      </c>
      <c r="C227" s="39" t="s">
        <v>109</v>
      </c>
      <c r="D227" s="39" t="s">
        <v>39</v>
      </c>
      <c r="E227" s="39" t="s">
        <v>105</v>
      </c>
      <c r="F227" s="39" t="n">
        <v>1</v>
      </c>
      <c r="G227" s="41" t="n">
        <v>948</v>
      </c>
      <c r="H227" s="42" t="n">
        <f aca="false">F227*G227</f>
        <v>948</v>
      </c>
      <c r="I227" s="39" t="s">
        <v>34</v>
      </c>
      <c r="J227" s="39" t="s">
        <v>42</v>
      </c>
      <c r="K227" s="39" t="n">
        <v>2</v>
      </c>
    </row>
    <row r="228" customFormat="false" ht="15" hidden="false" customHeight="false" outlineLevel="0" collapsed="false">
      <c r="A228" s="39" t="s">
        <v>338</v>
      </c>
      <c r="B228" s="40" t="n">
        <v>46223</v>
      </c>
      <c r="C228" s="39" t="s">
        <v>109</v>
      </c>
      <c r="D228" s="39" t="s">
        <v>39</v>
      </c>
      <c r="E228" s="39" t="s">
        <v>99</v>
      </c>
      <c r="F228" s="39" t="n">
        <v>2</v>
      </c>
      <c r="G228" s="41" t="n">
        <v>1158</v>
      </c>
      <c r="H228" s="42" t="n">
        <f aca="false">F228*G228</f>
        <v>2316</v>
      </c>
      <c r="I228" s="39" t="s">
        <v>36</v>
      </c>
      <c r="J228" s="39" t="s">
        <v>42</v>
      </c>
      <c r="K228" s="39" t="n">
        <v>4</v>
      </c>
    </row>
    <row r="229" customFormat="false" ht="15" hidden="false" customHeight="false" outlineLevel="0" collapsed="false">
      <c r="A229" s="39" t="s">
        <v>339</v>
      </c>
      <c r="B229" s="40" t="n">
        <v>46223</v>
      </c>
      <c r="C229" s="39" t="s">
        <v>51</v>
      </c>
      <c r="D229" s="39" t="s">
        <v>35</v>
      </c>
      <c r="E229" s="39" t="s">
        <v>125</v>
      </c>
      <c r="F229" s="39" t="n">
        <v>1</v>
      </c>
      <c r="G229" s="41" t="n">
        <v>648</v>
      </c>
      <c r="H229" s="42" t="n">
        <f aca="false">F229*G229</f>
        <v>648</v>
      </c>
      <c r="I229" s="39" t="s">
        <v>36</v>
      </c>
      <c r="J229" s="39" t="s">
        <v>43</v>
      </c>
      <c r="K229" s="39" t="n">
        <v>4</v>
      </c>
    </row>
    <row r="230" customFormat="false" ht="15" hidden="false" customHeight="false" outlineLevel="0" collapsed="false">
      <c r="A230" s="39" t="s">
        <v>340</v>
      </c>
      <c r="B230" s="40" t="n">
        <v>46223</v>
      </c>
      <c r="C230" s="39" t="s">
        <v>101</v>
      </c>
      <c r="D230" s="39" t="s">
        <v>35</v>
      </c>
      <c r="E230" s="39" t="s">
        <v>95</v>
      </c>
      <c r="F230" s="39" t="n">
        <v>1</v>
      </c>
      <c r="G230" s="41" t="n">
        <v>488</v>
      </c>
      <c r="H230" s="42" t="n">
        <f aca="false">F230*G230</f>
        <v>488</v>
      </c>
      <c r="I230" s="39" t="s">
        <v>34</v>
      </c>
      <c r="J230" s="39" t="s">
        <v>42</v>
      </c>
      <c r="K230" s="39" t="n">
        <v>5</v>
      </c>
    </row>
    <row r="231" customFormat="false" ht="15" hidden="false" customHeight="false" outlineLevel="0" collapsed="false">
      <c r="A231" s="39" t="s">
        <v>341</v>
      </c>
      <c r="B231" s="40" t="n">
        <v>46223</v>
      </c>
      <c r="C231" s="39" t="s">
        <v>53</v>
      </c>
      <c r="D231" s="39" t="s">
        <v>35</v>
      </c>
      <c r="E231" s="39" t="s">
        <v>95</v>
      </c>
      <c r="F231" s="39" t="n">
        <v>1</v>
      </c>
      <c r="G231" s="41" t="n">
        <v>498</v>
      </c>
      <c r="H231" s="42" t="n">
        <f aca="false">F231*G231</f>
        <v>498</v>
      </c>
      <c r="I231" s="39" t="s">
        <v>36</v>
      </c>
      <c r="J231" s="39" t="s">
        <v>42</v>
      </c>
      <c r="K231" s="39" t="n">
        <v>4</v>
      </c>
    </row>
    <row r="232" customFormat="false" ht="15" hidden="false" customHeight="false" outlineLevel="0" collapsed="false">
      <c r="A232" s="39" t="s">
        <v>342</v>
      </c>
      <c r="B232" s="40" t="n">
        <v>46223</v>
      </c>
      <c r="C232" s="39" t="s">
        <v>52</v>
      </c>
      <c r="D232" s="39" t="s">
        <v>39</v>
      </c>
      <c r="E232" s="39" t="s">
        <v>105</v>
      </c>
      <c r="F232" s="39" t="n">
        <v>1</v>
      </c>
      <c r="G232" s="41" t="n">
        <v>478</v>
      </c>
      <c r="H232" s="42" t="n">
        <f aca="false">F232*G232</f>
        <v>478</v>
      </c>
      <c r="I232" s="39" t="s">
        <v>36</v>
      </c>
      <c r="J232" s="39" t="s">
        <v>42</v>
      </c>
      <c r="K232" s="39" t="n">
        <v>3</v>
      </c>
    </row>
    <row r="233" customFormat="false" ht="15" hidden="false" customHeight="false" outlineLevel="0" collapsed="false">
      <c r="A233" s="39" t="s">
        <v>343</v>
      </c>
      <c r="B233" s="40" t="n">
        <v>46223</v>
      </c>
      <c r="C233" s="39" t="s">
        <v>101</v>
      </c>
      <c r="D233" s="39" t="s">
        <v>35</v>
      </c>
      <c r="E233" s="39" t="s">
        <v>95</v>
      </c>
      <c r="F233" s="39" t="n">
        <v>1</v>
      </c>
      <c r="G233" s="41" t="n">
        <v>378</v>
      </c>
      <c r="H233" s="42" t="n">
        <f aca="false">F233*G233</f>
        <v>378</v>
      </c>
      <c r="I233" s="39" t="s">
        <v>36</v>
      </c>
      <c r="J233" s="39" t="s">
        <v>42</v>
      </c>
      <c r="K233" s="39" t="n">
        <v>4</v>
      </c>
    </row>
    <row r="234" customFormat="false" ht="15" hidden="false" customHeight="false" outlineLevel="0" collapsed="false">
      <c r="A234" s="39" t="s">
        <v>344</v>
      </c>
      <c r="B234" s="40" t="n">
        <v>46223</v>
      </c>
      <c r="C234" s="39" t="s">
        <v>51</v>
      </c>
      <c r="D234" s="39" t="s">
        <v>39</v>
      </c>
      <c r="E234" s="39" t="s">
        <v>99</v>
      </c>
      <c r="F234" s="39" t="n">
        <v>1</v>
      </c>
      <c r="G234" s="41" t="n">
        <v>758</v>
      </c>
      <c r="H234" s="42" t="n">
        <f aca="false">F234*G234</f>
        <v>758</v>
      </c>
      <c r="I234" s="39" t="s">
        <v>34</v>
      </c>
      <c r="J234" s="39" t="s">
        <v>42</v>
      </c>
      <c r="K234" s="39" t="n">
        <v>3</v>
      </c>
    </row>
    <row r="235" customFormat="false" ht="15" hidden="false" customHeight="false" outlineLevel="0" collapsed="false">
      <c r="A235" s="39" t="s">
        <v>345</v>
      </c>
      <c r="B235" s="40" t="n">
        <v>46223</v>
      </c>
      <c r="C235" s="39" t="s">
        <v>50</v>
      </c>
      <c r="D235" s="39" t="s">
        <v>33</v>
      </c>
      <c r="E235" s="39" t="s">
        <v>102</v>
      </c>
      <c r="F235" s="39" t="n">
        <v>1</v>
      </c>
      <c r="G235" s="41" t="n">
        <v>708</v>
      </c>
      <c r="H235" s="42" t="n">
        <f aca="false">F235*G235</f>
        <v>708</v>
      </c>
      <c r="I235" s="39" t="s">
        <v>34</v>
      </c>
      <c r="J235" s="39" t="s">
        <v>42</v>
      </c>
      <c r="K235" s="39" t="n">
        <v>6</v>
      </c>
    </row>
    <row r="236" customFormat="false" ht="15" hidden="false" customHeight="false" outlineLevel="0" collapsed="false">
      <c r="A236" s="39" t="s">
        <v>346</v>
      </c>
      <c r="B236" s="40" t="n">
        <v>46223</v>
      </c>
      <c r="C236" s="39" t="s">
        <v>52</v>
      </c>
      <c r="D236" s="39" t="s">
        <v>33</v>
      </c>
      <c r="E236" s="39" t="s">
        <v>117</v>
      </c>
      <c r="F236" s="39" t="n">
        <v>1</v>
      </c>
      <c r="G236" s="41" t="n">
        <v>458</v>
      </c>
      <c r="H236" s="42" t="n">
        <f aca="false">F236*G236</f>
        <v>458</v>
      </c>
      <c r="I236" s="39" t="s">
        <v>34</v>
      </c>
      <c r="J236" s="39" t="s">
        <v>42</v>
      </c>
      <c r="K236" s="39" t="n">
        <v>7</v>
      </c>
    </row>
    <row r="237" customFormat="false" ht="15" hidden="false" customHeight="false" outlineLevel="0" collapsed="false">
      <c r="A237" s="39" t="s">
        <v>347</v>
      </c>
      <c r="B237" s="40" t="n">
        <v>46223</v>
      </c>
      <c r="C237" s="39" t="s">
        <v>52</v>
      </c>
      <c r="D237" s="39" t="s">
        <v>38</v>
      </c>
      <c r="E237" s="39" t="s">
        <v>121</v>
      </c>
      <c r="F237" s="39" t="n">
        <v>1</v>
      </c>
      <c r="G237" s="41" t="n">
        <v>548</v>
      </c>
      <c r="H237" s="42" t="n">
        <f aca="false">F237*G237</f>
        <v>548</v>
      </c>
      <c r="I237" s="39" t="s">
        <v>34</v>
      </c>
      <c r="J237" s="39" t="s">
        <v>42</v>
      </c>
      <c r="K237" s="39" t="n">
        <v>3</v>
      </c>
    </row>
    <row r="238" customFormat="false" ht="15" hidden="false" customHeight="false" outlineLevel="0" collapsed="false">
      <c r="A238" s="39" t="s">
        <v>348</v>
      </c>
      <c r="B238" s="40" t="n">
        <v>46224</v>
      </c>
      <c r="C238" s="39" t="s">
        <v>50</v>
      </c>
      <c r="D238" s="39" t="s">
        <v>38</v>
      </c>
      <c r="E238" s="39" t="s">
        <v>110</v>
      </c>
      <c r="F238" s="39" t="n">
        <v>3</v>
      </c>
      <c r="G238" s="41" t="n">
        <v>968</v>
      </c>
      <c r="H238" s="42" t="n">
        <f aca="false">F238*G238</f>
        <v>2904</v>
      </c>
      <c r="I238" s="39" t="s">
        <v>36</v>
      </c>
      <c r="J238" s="39" t="s">
        <v>42</v>
      </c>
      <c r="K238" s="39" t="n">
        <v>4</v>
      </c>
    </row>
    <row r="239" customFormat="false" ht="15" hidden="false" customHeight="false" outlineLevel="0" collapsed="false">
      <c r="A239" s="39" t="s">
        <v>349</v>
      </c>
      <c r="B239" s="40" t="n">
        <v>46224</v>
      </c>
      <c r="C239" s="39" t="s">
        <v>49</v>
      </c>
      <c r="D239" s="39" t="s">
        <v>35</v>
      </c>
      <c r="E239" s="39" t="s">
        <v>125</v>
      </c>
      <c r="F239" s="39" t="n">
        <v>2</v>
      </c>
      <c r="G239" s="41" t="n">
        <v>308</v>
      </c>
      <c r="H239" s="42" t="n">
        <f aca="false">F239*G239</f>
        <v>616</v>
      </c>
      <c r="I239" s="39" t="s">
        <v>34</v>
      </c>
      <c r="J239" s="39" t="s">
        <v>42</v>
      </c>
      <c r="K239" s="39" t="n">
        <v>5</v>
      </c>
    </row>
    <row r="240" customFormat="false" ht="15" hidden="false" customHeight="false" outlineLevel="0" collapsed="false">
      <c r="A240" s="39" t="s">
        <v>350</v>
      </c>
      <c r="B240" s="40" t="n">
        <v>46224</v>
      </c>
      <c r="C240" s="39" t="s">
        <v>51</v>
      </c>
      <c r="D240" s="39" t="s">
        <v>38</v>
      </c>
      <c r="E240" s="39" t="s">
        <v>121</v>
      </c>
      <c r="F240" s="39" t="n">
        <v>1</v>
      </c>
      <c r="G240" s="41" t="n">
        <v>948</v>
      </c>
      <c r="H240" s="42" t="n">
        <f aca="false">F240*G240</f>
        <v>948</v>
      </c>
      <c r="I240" s="39" t="s">
        <v>36</v>
      </c>
      <c r="J240" s="39" t="s">
        <v>43</v>
      </c>
      <c r="K240" s="39" t="n">
        <v>5</v>
      </c>
    </row>
    <row r="241" customFormat="false" ht="15" hidden="false" customHeight="false" outlineLevel="0" collapsed="false">
      <c r="A241" s="39" t="s">
        <v>351</v>
      </c>
      <c r="B241" s="40" t="n">
        <v>46224</v>
      </c>
      <c r="C241" s="39" t="s">
        <v>101</v>
      </c>
      <c r="D241" s="39" t="s">
        <v>38</v>
      </c>
      <c r="E241" s="39" t="s">
        <v>107</v>
      </c>
      <c r="F241" s="39" t="n">
        <v>1</v>
      </c>
      <c r="G241" s="41" t="n">
        <v>818</v>
      </c>
      <c r="H241" s="42" t="n">
        <f aca="false">F241*G241</f>
        <v>818</v>
      </c>
      <c r="I241" s="39" t="s">
        <v>34</v>
      </c>
      <c r="J241" s="39" t="s">
        <v>42</v>
      </c>
      <c r="K241" s="39" t="n">
        <v>6</v>
      </c>
    </row>
    <row r="242" customFormat="false" ht="15" hidden="false" customHeight="false" outlineLevel="0" collapsed="false">
      <c r="A242" s="39" t="s">
        <v>352</v>
      </c>
      <c r="B242" s="40" t="n">
        <v>46224</v>
      </c>
      <c r="C242" s="39" t="s">
        <v>48</v>
      </c>
      <c r="D242" s="39" t="s">
        <v>39</v>
      </c>
      <c r="E242" s="39" t="s">
        <v>129</v>
      </c>
      <c r="F242" s="39" t="n">
        <v>1</v>
      </c>
      <c r="G242" s="41" t="n">
        <v>768</v>
      </c>
      <c r="H242" s="42" t="n">
        <f aca="false">F242*G242</f>
        <v>768</v>
      </c>
      <c r="I242" s="39" t="s">
        <v>34</v>
      </c>
      <c r="J242" s="39" t="s">
        <v>42</v>
      </c>
      <c r="K242" s="39" t="n">
        <v>7</v>
      </c>
    </row>
    <row r="243" customFormat="false" ht="15" hidden="false" customHeight="false" outlineLevel="0" collapsed="false">
      <c r="A243" s="39" t="s">
        <v>353</v>
      </c>
      <c r="B243" s="40" t="n">
        <v>46224</v>
      </c>
      <c r="C243" s="39" t="s">
        <v>52</v>
      </c>
      <c r="D243" s="39" t="s">
        <v>39</v>
      </c>
      <c r="E243" s="39" t="s">
        <v>99</v>
      </c>
      <c r="F243" s="39" t="n">
        <v>1</v>
      </c>
      <c r="G243" s="41" t="n">
        <v>588</v>
      </c>
      <c r="H243" s="42" t="n">
        <f aca="false">F243*G243</f>
        <v>588</v>
      </c>
      <c r="I243" s="39" t="s">
        <v>34</v>
      </c>
      <c r="J243" s="39" t="s">
        <v>42</v>
      </c>
      <c r="K243" s="39" t="n">
        <v>6</v>
      </c>
    </row>
    <row r="244" customFormat="false" ht="15" hidden="false" customHeight="false" outlineLevel="0" collapsed="false">
      <c r="A244" s="39" t="s">
        <v>354</v>
      </c>
      <c r="B244" s="40" t="n">
        <v>46224</v>
      </c>
      <c r="C244" s="39" t="s">
        <v>51</v>
      </c>
      <c r="D244" s="39" t="s">
        <v>33</v>
      </c>
      <c r="E244" s="39" t="s">
        <v>117</v>
      </c>
      <c r="F244" s="39" t="n">
        <v>1</v>
      </c>
      <c r="G244" s="41" t="n">
        <v>758</v>
      </c>
      <c r="H244" s="42" t="n">
        <f aca="false">F244*G244</f>
        <v>758</v>
      </c>
      <c r="I244" s="39" t="s">
        <v>36</v>
      </c>
      <c r="J244" s="39" t="s">
        <v>43</v>
      </c>
      <c r="K244" s="39" t="n">
        <v>4</v>
      </c>
    </row>
    <row r="245" customFormat="false" ht="15" hidden="false" customHeight="false" outlineLevel="0" collapsed="false">
      <c r="A245" s="39" t="s">
        <v>355</v>
      </c>
      <c r="B245" s="40" t="n">
        <v>46224</v>
      </c>
      <c r="C245" s="39" t="s">
        <v>109</v>
      </c>
      <c r="D245" s="39" t="s">
        <v>38</v>
      </c>
      <c r="E245" s="39" t="s">
        <v>110</v>
      </c>
      <c r="F245" s="39" t="n">
        <v>3</v>
      </c>
      <c r="G245" s="41" t="n">
        <v>768</v>
      </c>
      <c r="H245" s="42" t="n">
        <f aca="false">F245*G245</f>
        <v>2304</v>
      </c>
      <c r="I245" s="39" t="s">
        <v>36</v>
      </c>
      <c r="J245" s="39" t="s">
        <v>42</v>
      </c>
      <c r="K245" s="39" t="n">
        <v>5</v>
      </c>
    </row>
    <row r="246" customFormat="false" ht="15" hidden="false" customHeight="false" outlineLevel="0" collapsed="false">
      <c r="A246" s="39" t="s">
        <v>356</v>
      </c>
      <c r="B246" s="40" t="n">
        <v>46224</v>
      </c>
      <c r="C246" s="39" t="s">
        <v>48</v>
      </c>
      <c r="D246" s="39" t="s">
        <v>33</v>
      </c>
      <c r="E246" s="39" t="s">
        <v>117</v>
      </c>
      <c r="F246" s="39" t="n">
        <v>1</v>
      </c>
      <c r="G246" s="41" t="n">
        <v>768</v>
      </c>
      <c r="H246" s="42" t="n">
        <f aca="false">F246*G246</f>
        <v>768</v>
      </c>
      <c r="I246" s="39" t="s">
        <v>36</v>
      </c>
      <c r="J246" s="39" t="s">
        <v>42</v>
      </c>
      <c r="K246" s="39" t="n">
        <v>4</v>
      </c>
    </row>
    <row r="247" customFormat="false" ht="15" hidden="false" customHeight="false" outlineLevel="0" collapsed="false">
      <c r="A247" s="39" t="s">
        <v>357</v>
      </c>
      <c r="B247" s="40" t="n">
        <v>46224</v>
      </c>
      <c r="C247" s="39" t="s">
        <v>51</v>
      </c>
      <c r="D247" s="39" t="s">
        <v>38</v>
      </c>
      <c r="E247" s="39" t="s">
        <v>121</v>
      </c>
      <c r="F247" s="39" t="n">
        <v>2</v>
      </c>
      <c r="G247" s="41" t="n">
        <v>508</v>
      </c>
      <c r="H247" s="42" t="n">
        <f aca="false">F247*G247</f>
        <v>1016</v>
      </c>
      <c r="I247" s="39" t="s">
        <v>34</v>
      </c>
      <c r="J247" s="39" t="s">
        <v>42</v>
      </c>
      <c r="K247" s="39" t="n">
        <v>4</v>
      </c>
    </row>
    <row r="248" customFormat="false" ht="15" hidden="false" customHeight="false" outlineLevel="0" collapsed="false">
      <c r="A248" s="39" t="s">
        <v>358</v>
      </c>
      <c r="B248" s="40" t="n">
        <v>46224</v>
      </c>
      <c r="C248" s="39" t="s">
        <v>48</v>
      </c>
      <c r="D248" s="39" t="s">
        <v>35</v>
      </c>
      <c r="E248" s="39" t="s">
        <v>125</v>
      </c>
      <c r="F248" s="39" t="n">
        <v>1</v>
      </c>
      <c r="G248" s="41" t="n">
        <v>578</v>
      </c>
      <c r="H248" s="42" t="n">
        <f aca="false">F248*G248</f>
        <v>578</v>
      </c>
      <c r="I248" s="39" t="s">
        <v>36</v>
      </c>
      <c r="J248" s="39" t="s">
        <v>47</v>
      </c>
      <c r="K248" s="39"/>
    </row>
    <row r="249" customFormat="false" ht="15" hidden="false" customHeight="false" outlineLevel="0" collapsed="false">
      <c r="A249" s="39" t="s">
        <v>359</v>
      </c>
      <c r="B249" s="40" t="n">
        <v>46225</v>
      </c>
      <c r="C249" s="39" t="s">
        <v>53</v>
      </c>
      <c r="D249" s="39" t="s">
        <v>37</v>
      </c>
      <c r="E249" s="39" t="s">
        <v>141</v>
      </c>
      <c r="F249" s="39" t="n">
        <v>1</v>
      </c>
      <c r="G249" s="41" t="n">
        <v>358</v>
      </c>
      <c r="H249" s="42" t="n">
        <f aca="false">F249*G249</f>
        <v>358</v>
      </c>
      <c r="I249" s="39" t="s">
        <v>34</v>
      </c>
      <c r="J249" s="39" t="s">
        <v>42</v>
      </c>
      <c r="K249" s="39" t="n">
        <v>4</v>
      </c>
    </row>
    <row r="250" customFormat="false" ht="15" hidden="false" customHeight="false" outlineLevel="0" collapsed="false">
      <c r="A250" s="39" t="s">
        <v>360</v>
      </c>
      <c r="B250" s="40" t="n">
        <v>46225</v>
      </c>
      <c r="C250" s="39" t="s">
        <v>50</v>
      </c>
      <c r="D250" s="39" t="s">
        <v>35</v>
      </c>
      <c r="E250" s="39" t="s">
        <v>159</v>
      </c>
      <c r="F250" s="39" t="n">
        <v>3</v>
      </c>
      <c r="G250" s="41" t="n">
        <v>688</v>
      </c>
      <c r="H250" s="42" t="n">
        <f aca="false">F250*G250</f>
        <v>2064</v>
      </c>
      <c r="I250" s="39" t="s">
        <v>34</v>
      </c>
      <c r="J250" s="39" t="s">
        <v>43</v>
      </c>
      <c r="K250" s="39" t="n">
        <v>2</v>
      </c>
    </row>
    <row r="251" customFormat="false" ht="15" hidden="false" customHeight="false" outlineLevel="0" collapsed="false">
      <c r="A251" s="39" t="s">
        <v>361</v>
      </c>
      <c r="B251" s="40" t="n">
        <v>46225</v>
      </c>
      <c r="C251" s="39" t="s">
        <v>51</v>
      </c>
      <c r="D251" s="39" t="s">
        <v>33</v>
      </c>
      <c r="E251" s="39" t="s">
        <v>136</v>
      </c>
      <c r="F251" s="39" t="n">
        <v>1</v>
      </c>
      <c r="G251" s="41" t="n">
        <v>398</v>
      </c>
      <c r="H251" s="42" t="n">
        <f aca="false">F251*G251</f>
        <v>398</v>
      </c>
      <c r="I251" s="39" t="s">
        <v>36</v>
      </c>
      <c r="J251" s="39" t="s">
        <v>42</v>
      </c>
      <c r="K251" s="39" t="n">
        <v>2</v>
      </c>
    </row>
    <row r="252" customFormat="false" ht="15" hidden="false" customHeight="false" outlineLevel="0" collapsed="false">
      <c r="A252" s="39" t="s">
        <v>362</v>
      </c>
      <c r="B252" s="40" t="n">
        <v>46225</v>
      </c>
      <c r="C252" s="39" t="s">
        <v>109</v>
      </c>
      <c r="D252" s="39" t="s">
        <v>35</v>
      </c>
      <c r="E252" s="39" t="s">
        <v>159</v>
      </c>
      <c r="F252" s="39" t="n">
        <v>1</v>
      </c>
      <c r="G252" s="41" t="n">
        <v>778</v>
      </c>
      <c r="H252" s="42" t="n">
        <f aca="false">F252*G252</f>
        <v>778</v>
      </c>
      <c r="I252" s="39" t="s">
        <v>34</v>
      </c>
      <c r="J252" s="39" t="s">
        <v>42</v>
      </c>
      <c r="K252" s="39" t="n">
        <v>3</v>
      </c>
    </row>
    <row r="253" customFormat="false" ht="15" hidden="false" customHeight="false" outlineLevel="0" collapsed="false">
      <c r="A253" s="39" t="s">
        <v>363</v>
      </c>
      <c r="B253" s="40" t="n">
        <v>46225</v>
      </c>
      <c r="C253" s="39" t="s">
        <v>109</v>
      </c>
      <c r="D253" s="39" t="s">
        <v>37</v>
      </c>
      <c r="E253" s="39" t="s">
        <v>131</v>
      </c>
      <c r="F253" s="39" t="n">
        <v>1</v>
      </c>
      <c r="G253" s="41" t="n">
        <v>608</v>
      </c>
      <c r="H253" s="42" t="n">
        <f aca="false">F253*G253</f>
        <v>608</v>
      </c>
      <c r="I253" s="39" t="s">
        <v>36</v>
      </c>
      <c r="J253" s="39" t="s">
        <v>45</v>
      </c>
      <c r="K253" s="39"/>
    </row>
    <row r="254" customFormat="false" ht="15" hidden="false" customHeight="false" outlineLevel="0" collapsed="false">
      <c r="A254" s="39" t="s">
        <v>364</v>
      </c>
      <c r="B254" s="40" t="n">
        <v>46225</v>
      </c>
      <c r="C254" s="39" t="s">
        <v>50</v>
      </c>
      <c r="D254" s="39" t="s">
        <v>33</v>
      </c>
      <c r="E254" s="39" t="s">
        <v>102</v>
      </c>
      <c r="F254" s="39" t="n">
        <v>2</v>
      </c>
      <c r="G254" s="41" t="n">
        <v>308</v>
      </c>
      <c r="H254" s="42" t="n">
        <f aca="false">F254*G254</f>
        <v>616</v>
      </c>
      <c r="I254" s="39" t="s">
        <v>34</v>
      </c>
      <c r="J254" s="39" t="s">
        <v>42</v>
      </c>
      <c r="K254" s="39" t="n">
        <v>3</v>
      </c>
    </row>
    <row r="255" customFormat="false" ht="15" hidden="false" customHeight="false" outlineLevel="0" collapsed="false">
      <c r="A255" s="39" t="s">
        <v>365</v>
      </c>
      <c r="B255" s="40" t="n">
        <v>46225</v>
      </c>
      <c r="C255" s="39" t="s">
        <v>51</v>
      </c>
      <c r="D255" s="39" t="s">
        <v>38</v>
      </c>
      <c r="E255" s="39" t="s">
        <v>121</v>
      </c>
      <c r="F255" s="39" t="n">
        <v>1</v>
      </c>
      <c r="G255" s="41" t="n">
        <v>708</v>
      </c>
      <c r="H255" s="42" t="n">
        <f aca="false">F255*G255</f>
        <v>708</v>
      </c>
      <c r="I255" s="39" t="s">
        <v>34</v>
      </c>
      <c r="J255" s="39" t="s">
        <v>42</v>
      </c>
      <c r="K255" s="39" t="n">
        <v>3</v>
      </c>
    </row>
    <row r="256" customFormat="false" ht="15" hidden="false" customHeight="false" outlineLevel="0" collapsed="false">
      <c r="A256" s="39" t="s">
        <v>366</v>
      </c>
      <c r="B256" s="40" t="n">
        <v>46225</v>
      </c>
      <c r="C256" s="39" t="s">
        <v>50</v>
      </c>
      <c r="D256" s="39" t="s">
        <v>35</v>
      </c>
      <c r="E256" s="39" t="s">
        <v>159</v>
      </c>
      <c r="F256" s="39" t="n">
        <v>1</v>
      </c>
      <c r="G256" s="41" t="n">
        <v>528</v>
      </c>
      <c r="H256" s="42" t="n">
        <f aca="false">F256*G256</f>
        <v>528</v>
      </c>
      <c r="I256" s="39" t="s">
        <v>34</v>
      </c>
      <c r="J256" s="39" t="s">
        <v>42</v>
      </c>
      <c r="K256" s="39" t="n">
        <v>6</v>
      </c>
    </row>
    <row r="257" customFormat="false" ht="15" hidden="false" customHeight="false" outlineLevel="0" collapsed="false">
      <c r="A257" s="39" t="s">
        <v>367</v>
      </c>
      <c r="B257" s="40" t="n">
        <v>46225</v>
      </c>
      <c r="C257" s="39" t="s">
        <v>101</v>
      </c>
      <c r="D257" s="39" t="s">
        <v>35</v>
      </c>
      <c r="E257" s="39" t="s">
        <v>159</v>
      </c>
      <c r="F257" s="39" t="n">
        <v>1</v>
      </c>
      <c r="G257" s="41" t="n">
        <v>498</v>
      </c>
      <c r="H257" s="42" t="n">
        <f aca="false">F257*G257</f>
        <v>498</v>
      </c>
      <c r="I257" s="39" t="s">
        <v>36</v>
      </c>
      <c r="J257" s="39" t="s">
        <v>42</v>
      </c>
      <c r="K257" s="39" t="n">
        <v>4</v>
      </c>
    </row>
    <row r="258" customFormat="false" ht="15" hidden="false" customHeight="false" outlineLevel="0" collapsed="false">
      <c r="A258" s="39" t="s">
        <v>368</v>
      </c>
      <c r="B258" s="40" t="n">
        <v>46225</v>
      </c>
      <c r="C258" s="39" t="s">
        <v>49</v>
      </c>
      <c r="D258" s="39" t="s">
        <v>39</v>
      </c>
      <c r="E258" s="39" t="s">
        <v>105</v>
      </c>
      <c r="F258" s="39" t="n">
        <v>2</v>
      </c>
      <c r="G258" s="41" t="n">
        <v>1118</v>
      </c>
      <c r="H258" s="42" t="n">
        <f aca="false">F258*G258</f>
        <v>2236</v>
      </c>
      <c r="I258" s="39" t="s">
        <v>36</v>
      </c>
      <c r="J258" s="39" t="s">
        <v>42</v>
      </c>
      <c r="K258" s="39" t="n">
        <v>5</v>
      </c>
    </row>
    <row r="259" customFormat="false" ht="15" hidden="false" customHeight="false" outlineLevel="0" collapsed="false">
      <c r="A259" s="39" t="s">
        <v>369</v>
      </c>
      <c r="B259" s="40" t="n">
        <v>46225</v>
      </c>
      <c r="C259" s="39" t="s">
        <v>53</v>
      </c>
      <c r="D259" s="39" t="s">
        <v>37</v>
      </c>
      <c r="E259" s="39" t="s">
        <v>131</v>
      </c>
      <c r="F259" s="39" t="n">
        <v>1</v>
      </c>
      <c r="G259" s="41" t="n">
        <v>478</v>
      </c>
      <c r="H259" s="42" t="n">
        <f aca="false">F259*G259</f>
        <v>478</v>
      </c>
      <c r="I259" s="39" t="s">
        <v>34</v>
      </c>
      <c r="J259" s="39" t="s">
        <v>42</v>
      </c>
      <c r="K259" s="39" t="n">
        <v>4</v>
      </c>
    </row>
    <row r="260" customFormat="false" ht="15" hidden="false" customHeight="false" outlineLevel="0" collapsed="false">
      <c r="A260" s="39" t="s">
        <v>370</v>
      </c>
      <c r="B260" s="40" t="n">
        <v>46225</v>
      </c>
      <c r="C260" s="39" t="s">
        <v>49</v>
      </c>
      <c r="D260" s="39" t="s">
        <v>39</v>
      </c>
      <c r="E260" s="39" t="s">
        <v>99</v>
      </c>
      <c r="F260" s="39" t="n">
        <v>1</v>
      </c>
      <c r="G260" s="41" t="n">
        <v>588</v>
      </c>
      <c r="H260" s="42" t="n">
        <f aca="false">F260*G260</f>
        <v>588</v>
      </c>
      <c r="I260" s="39" t="s">
        <v>34</v>
      </c>
      <c r="J260" s="39" t="s">
        <v>42</v>
      </c>
      <c r="K260" s="39" t="n">
        <v>5</v>
      </c>
    </row>
    <row r="261" customFormat="false" ht="15" hidden="false" customHeight="false" outlineLevel="0" collapsed="false">
      <c r="A261" s="39" t="s">
        <v>371</v>
      </c>
      <c r="B261" s="40" t="n">
        <v>46225</v>
      </c>
      <c r="C261" s="39" t="s">
        <v>49</v>
      </c>
      <c r="D261" s="39" t="s">
        <v>38</v>
      </c>
      <c r="E261" s="39" t="s">
        <v>110</v>
      </c>
      <c r="F261" s="39" t="n">
        <v>1</v>
      </c>
      <c r="G261" s="41" t="n">
        <v>858</v>
      </c>
      <c r="H261" s="42" t="n">
        <f aca="false">F261*G261</f>
        <v>858</v>
      </c>
      <c r="I261" s="39" t="s">
        <v>34</v>
      </c>
      <c r="J261" s="39" t="s">
        <v>42</v>
      </c>
      <c r="K261" s="39" t="n">
        <v>6</v>
      </c>
    </row>
    <row r="262" customFormat="false" ht="15" hidden="false" customHeight="false" outlineLevel="0" collapsed="false">
      <c r="A262" s="39" t="s">
        <v>372</v>
      </c>
      <c r="B262" s="40" t="n">
        <v>46226</v>
      </c>
      <c r="C262" s="39" t="s">
        <v>50</v>
      </c>
      <c r="D262" s="39" t="s">
        <v>39</v>
      </c>
      <c r="E262" s="39" t="s">
        <v>105</v>
      </c>
      <c r="F262" s="39" t="n">
        <v>2</v>
      </c>
      <c r="G262" s="41" t="n">
        <v>578</v>
      </c>
      <c r="H262" s="42" t="n">
        <f aca="false">F262*G262</f>
        <v>1156</v>
      </c>
      <c r="I262" s="39" t="s">
        <v>34</v>
      </c>
      <c r="J262" s="39" t="s">
        <v>42</v>
      </c>
      <c r="K262" s="39" t="n">
        <v>5</v>
      </c>
    </row>
    <row r="263" customFormat="false" ht="15" hidden="false" customHeight="false" outlineLevel="0" collapsed="false">
      <c r="A263" s="39" t="s">
        <v>373</v>
      </c>
      <c r="B263" s="40" t="n">
        <v>46226</v>
      </c>
      <c r="C263" s="39" t="s">
        <v>109</v>
      </c>
      <c r="D263" s="39" t="s">
        <v>33</v>
      </c>
      <c r="E263" s="39" t="s">
        <v>136</v>
      </c>
      <c r="F263" s="39" t="n">
        <v>2</v>
      </c>
      <c r="G263" s="41" t="n">
        <v>328</v>
      </c>
      <c r="H263" s="42" t="n">
        <f aca="false">F263*G263</f>
        <v>656</v>
      </c>
      <c r="I263" s="39" t="s">
        <v>34</v>
      </c>
      <c r="J263" s="39" t="s">
        <v>42</v>
      </c>
      <c r="K263" s="39" t="n">
        <v>7</v>
      </c>
    </row>
    <row r="264" customFormat="false" ht="15" hidden="false" customHeight="false" outlineLevel="0" collapsed="false">
      <c r="A264" s="39" t="s">
        <v>374</v>
      </c>
      <c r="B264" s="40" t="n">
        <v>46226</v>
      </c>
      <c r="C264" s="39" t="s">
        <v>53</v>
      </c>
      <c r="D264" s="39" t="s">
        <v>38</v>
      </c>
      <c r="E264" s="39" t="s">
        <v>107</v>
      </c>
      <c r="F264" s="39" t="n">
        <v>1</v>
      </c>
      <c r="G264" s="41" t="n">
        <v>708</v>
      </c>
      <c r="H264" s="42" t="n">
        <f aca="false">F264*G264</f>
        <v>708</v>
      </c>
      <c r="I264" s="39" t="s">
        <v>34</v>
      </c>
      <c r="J264" s="39" t="s">
        <v>42</v>
      </c>
      <c r="K264" s="39" t="n">
        <v>5</v>
      </c>
    </row>
    <row r="265" customFormat="false" ht="15" hidden="false" customHeight="false" outlineLevel="0" collapsed="false">
      <c r="A265" s="39" t="s">
        <v>375</v>
      </c>
      <c r="B265" s="40" t="n">
        <v>46226</v>
      </c>
      <c r="C265" s="39" t="s">
        <v>49</v>
      </c>
      <c r="D265" s="39" t="s">
        <v>38</v>
      </c>
      <c r="E265" s="39" t="s">
        <v>121</v>
      </c>
      <c r="F265" s="39" t="n">
        <v>1</v>
      </c>
      <c r="G265" s="41" t="n">
        <v>528</v>
      </c>
      <c r="H265" s="42" t="n">
        <f aca="false">F265*G265</f>
        <v>528</v>
      </c>
      <c r="I265" s="39" t="s">
        <v>34</v>
      </c>
      <c r="J265" s="39" t="s">
        <v>42</v>
      </c>
      <c r="K265" s="39" t="n">
        <v>4</v>
      </c>
    </row>
    <row r="266" customFormat="false" ht="15" hidden="false" customHeight="false" outlineLevel="0" collapsed="false">
      <c r="A266" s="39" t="s">
        <v>376</v>
      </c>
      <c r="B266" s="40" t="n">
        <v>46226</v>
      </c>
      <c r="C266" s="39" t="s">
        <v>53</v>
      </c>
      <c r="D266" s="39" t="s">
        <v>38</v>
      </c>
      <c r="E266" s="39" t="s">
        <v>121</v>
      </c>
      <c r="F266" s="39" t="n">
        <v>1</v>
      </c>
      <c r="G266" s="41" t="n">
        <v>508</v>
      </c>
      <c r="H266" s="42" t="n">
        <f aca="false">F266*G266</f>
        <v>508</v>
      </c>
      <c r="I266" s="39" t="s">
        <v>36</v>
      </c>
      <c r="J266" s="39" t="s">
        <v>47</v>
      </c>
      <c r="K266" s="39"/>
    </row>
    <row r="267" customFormat="false" ht="15" hidden="false" customHeight="false" outlineLevel="0" collapsed="false">
      <c r="A267" s="39" t="s">
        <v>377</v>
      </c>
      <c r="B267" s="40" t="n">
        <v>46226</v>
      </c>
      <c r="C267" s="39" t="s">
        <v>52</v>
      </c>
      <c r="D267" s="39" t="s">
        <v>38</v>
      </c>
      <c r="E267" s="39" t="s">
        <v>107</v>
      </c>
      <c r="F267" s="39" t="n">
        <v>1</v>
      </c>
      <c r="G267" s="41" t="n">
        <v>778</v>
      </c>
      <c r="H267" s="42" t="n">
        <f aca="false">F267*G267</f>
        <v>778</v>
      </c>
      <c r="I267" s="39" t="s">
        <v>36</v>
      </c>
      <c r="J267" s="39" t="s">
        <v>42</v>
      </c>
      <c r="K267" s="39" t="n">
        <v>3</v>
      </c>
    </row>
    <row r="268" customFormat="false" ht="15" hidden="false" customHeight="false" outlineLevel="0" collapsed="false">
      <c r="A268" s="39" t="s">
        <v>378</v>
      </c>
      <c r="B268" s="40" t="n">
        <v>46226</v>
      </c>
      <c r="C268" s="39" t="s">
        <v>53</v>
      </c>
      <c r="D268" s="39" t="s">
        <v>37</v>
      </c>
      <c r="E268" s="39" t="s">
        <v>131</v>
      </c>
      <c r="F268" s="39" t="n">
        <v>1</v>
      </c>
      <c r="G268" s="41" t="n">
        <v>608</v>
      </c>
      <c r="H268" s="42" t="n">
        <f aca="false">F268*G268</f>
        <v>608</v>
      </c>
      <c r="I268" s="39" t="s">
        <v>36</v>
      </c>
      <c r="J268" s="39" t="s">
        <v>42</v>
      </c>
      <c r="K268" s="39" t="n">
        <v>2</v>
      </c>
    </row>
    <row r="269" customFormat="false" ht="15" hidden="false" customHeight="false" outlineLevel="0" collapsed="false">
      <c r="A269" s="39" t="s">
        <v>379</v>
      </c>
      <c r="B269" s="40" t="n">
        <v>46226</v>
      </c>
      <c r="C269" s="39" t="s">
        <v>49</v>
      </c>
      <c r="D269" s="39" t="s">
        <v>33</v>
      </c>
      <c r="E269" s="39" t="s">
        <v>102</v>
      </c>
      <c r="F269" s="39" t="n">
        <v>2</v>
      </c>
      <c r="G269" s="41" t="n">
        <v>838</v>
      </c>
      <c r="H269" s="42" t="n">
        <f aca="false">F269*G269</f>
        <v>1676</v>
      </c>
      <c r="I269" s="39" t="s">
        <v>34</v>
      </c>
      <c r="J269" s="39" t="s">
        <v>42</v>
      </c>
      <c r="K269" s="39" t="n">
        <v>3</v>
      </c>
    </row>
    <row r="270" customFormat="false" ht="15" hidden="false" customHeight="false" outlineLevel="0" collapsed="false">
      <c r="A270" s="39" t="s">
        <v>380</v>
      </c>
      <c r="B270" s="40" t="n">
        <v>46226</v>
      </c>
      <c r="C270" s="39" t="s">
        <v>109</v>
      </c>
      <c r="D270" s="39" t="s">
        <v>37</v>
      </c>
      <c r="E270" s="39" t="s">
        <v>131</v>
      </c>
      <c r="F270" s="39" t="n">
        <v>2</v>
      </c>
      <c r="G270" s="41" t="n">
        <v>228</v>
      </c>
      <c r="H270" s="42" t="n">
        <f aca="false">F270*G270</f>
        <v>456</v>
      </c>
      <c r="I270" s="39" t="s">
        <v>34</v>
      </c>
      <c r="J270" s="39" t="s">
        <v>42</v>
      </c>
      <c r="K270" s="39" t="n">
        <v>4</v>
      </c>
    </row>
    <row r="271" customFormat="false" ht="15" hidden="false" customHeight="false" outlineLevel="0" collapsed="false">
      <c r="A271" s="39" t="s">
        <v>381</v>
      </c>
      <c r="B271" s="40" t="n">
        <v>46226</v>
      </c>
      <c r="C271" s="39" t="s">
        <v>109</v>
      </c>
      <c r="D271" s="39" t="s">
        <v>38</v>
      </c>
      <c r="E271" s="39" t="s">
        <v>110</v>
      </c>
      <c r="F271" s="39" t="n">
        <v>1</v>
      </c>
      <c r="G271" s="41" t="n">
        <v>408</v>
      </c>
      <c r="H271" s="42" t="n">
        <f aca="false">F271*G271</f>
        <v>408</v>
      </c>
      <c r="I271" s="39" t="s">
        <v>36</v>
      </c>
      <c r="J271" s="39" t="s">
        <v>42</v>
      </c>
      <c r="K271" s="39" t="n">
        <v>3</v>
      </c>
    </row>
    <row r="272" customFormat="false" ht="15" hidden="false" customHeight="false" outlineLevel="0" collapsed="false">
      <c r="A272" s="39" t="s">
        <v>382</v>
      </c>
      <c r="B272" s="40" t="n">
        <v>46226</v>
      </c>
      <c r="C272" s="39" t="s">
        <v>49</v>
      </c>
      <c r="D272" s="39" t="s">
        <v>33</v>
      </c>
      <c r="E272" s="39" t="s">
        <v>117</v>
      </c>
      <c r="F272" s="39" t="n">
        <v>1</v>
      </c>
      <c r="G272" s="41" t="n">
        <v>858</v>
      </c>
      <c r="H272" s="42" t="n">
        <f aca="false">F272*G272</f>
        <v>858</v>
      </c>
      <c r="I272" s="39" t="s">
        <v>34</v>
      </c>
      <c r="J272" s="39" t="s">
        <v>42</v>
      </c>
      <c r="K272" s="39" t="n">
        <v>3</v>
      </c>
    </row>
    <row r="273" customFormat="false" ht="15" hidden="false" customHeight="false" outlineLevel="0" collapsed="false">
      <c r="A273" s="39" t="s">
        <v>383</v>
      </c>
      <c r="B273" s="40" t="n">
        <v>46226</v>
      </c>
      <c r="C273" s="39" t="s">
        <v>48</v>
      </c>
      <c r="D273" s="39" t="s">
        <v>35</v>
      </c>
      <c r="E273" s="39" t="s">
        <v>125</v>
      </c>
      <c r="F273" s="39" t="n">
        <v>2</v>
      </c>
      <c r="G273" s="41" t="n">
        <v>608</v>
      </c>
      <c r="H273" s="42" t="n">
        <f aca="false">F273*G273</f>
        <v>1216</v>
      </c>
      <c r="I273" s="39" t="s">
        <v>36</v>
      </c>
      <c r="J273" s="39" t="s">
        <v>42</v>
      </c>
      <c r="K273" s="39" t="n">
        <v>3</v>
      </c>
    </row>
    <row r="274" customFormat="false" ht="15" hidden="false" customHeight="false" outlineLevel="0" collapsed="false">
      <c r="A274" s="39" t="s">
        <v>384</v>
      </c>
      <c r="B274" s="40" t="n">
        <v>46226</v>
      </c>
      <c r="C274" s="39" t="s">
        <v>50</v>
      </c>
      <c r="D274" s="39" t="s">
        <v>33</v>
      </c>
      <c r="E274" s="39" t="s">
        <v>102</v>
      </c>
      <c r="F274" s="39" t="n">
        <v>2</v>
      </c>
      <c r="G274" s="41" t="n">
        <v>598</v>
      </c>
      <c r="H274" s="42" t="n">
        <f aca="false">F274*G274</f>
        <v>1196</v>
      </c>
      <c r="I274" s="39" t="s">
        <v>34</v>
      </c>
      <c r="J274" s="39" t="s">
        <v>42</v>
      </c>
      <c r="K274" s="39" t="n">
        <v>2</v>
      </c>
    </row>
    <row r="275" customFormat="false" ht="15" hidden="false" customHeight="false" outlineLevel="0" collapsed="false">
      <c r="A275" s="39" t="s">
        <v>385</v>
      </c>
      <c r="B275" s="40" t="n">
        <v>46227</v>
      </c>
      <c r="C275" s="39" t="s">
        <v>51</v>
      </c>
      <c r="D275" s="39" t="s">
        <v>38</v>
      </c>
      <c r="E275" s="39" t="s">
        <v>121</v>
      </c>
      <c r="F275" s="39" t="n">
        <v>2</v>
      </c>
      <c r="G275" s="41" t="n">
        <v>538</v>
      </c>
      <c r="H275" s="42" t="n">
        <f aca="false">F275*G275</f>
        <v>1076</v>
      </c>
      <c r="I275" s="39" t="s">
        <v>36</v>
      </c>
      <c r="J275" s="39" t="s">
        <v>42</v>
      </c>
      <c r="K275" s="39" t="n">
        <v>5</v>
      </c>
    </row>
    <row r="276" customFormat="false" ht="15" hidden="false" customHeight="false" outlineLevel="0" collapsed="false">
      <c r="A276" s="39" t="s">
        <v>386</v>
      </c>
      <c r="B276" s="40" t="n">
        <v>46227</v>
      </c>
      <c r="C276" s="39" t="s">
        <v>50</v>
      </c>
      <c r="D276" s="39" t="s">
        <v>35</v>
      </c>
      <c r="E276" s="39" t="s">
        <v>95</v>
      </c>
      <c r="F276" s="39" t="n">
        <v>1</v>
      </c>
      <c r="G276" s="41" t="n">
        <v>788</v>
      </c>
      <c r="H276" s="42" t="n">
        <f aca="false">F276*G276</f>
        <v>788</v>
      </c>
      <c r="I276" s="39" t="s">
        <v>36</v>
      </c>
      <c r="J276" s="39" t="s">
        <v>42</v>
      </c>
      <c r="K276" s="39" t="n">
        <v>3</v>
      </c>
    </row>
    <row r="277" customFormat="false" ht="15" hidden="false" customHeight="false" outlineLevel="0" collapsed="false">
      <c r="A277" s="39" t="s">
        <v>387</v>
      </c>
      <c r="B277" s="40" t="n">
        <v>46227</v>
      </c>
      <c r="C277" s="39" t="s">
        <v>53</v>
      </c>
      <c r="D277" s="39" t="s">
        <v>35</v>
      </c>
      <c r="E277" s="39" t="s">
        <v>125</v>
      </c>
      <c r="F277" s="39" t="n">
        <v>2</v>
      </c>
      <c r="G277" s="41" t="n">
        <v>638</v>
      </c>
      <c r="H277" s="42" t="n">
        <f aca="false">F277*G277</f>
        <v>1276</v>
      </c>
      <c r="I277" s="39" t="s">
        <v>36</v>
      </c>
      <c r="J277" s="39" t="s">
        <v>42</v>
      </c>
      <c r="K277" s="39" t="n">
        <v>5</v>
      </c>
    </row>
    <row r="278" customFormat="false" ht="15" hidden="false" customHeight="false" outlineLevel="0" collapsed="false">
      <c r="A278" s="39" t="s">
        <v>388</v>
      </c>
      <c r="B278" s="40" t="n">
        <v>46227</v>
      </c>
      <c r="C278" s="39" t="s">
        <v>52</v>
      </c>
      <c r="D278" s="39" t="s">
        <v>33</v>
      </c>
      <c r="E278" s="39" t="s">
        <v>114</v>
      </c>
      <c r="F278" s="39" t="n">
        <v>2</v>
      </c>
      <c r="G278" s="41" t="n">
        <v>648</v>
      </c>
      <c r="H278" s="42" t="n">
        <f aca="false">F278*G278</f>
        <v>1296</v>
      </c>
      <c r="I278" s="39" t="s">
        <v>36</v>
      </c>
      <c r="J278" s="39" t="s">
        <v>45</v>
      </c>
      <c r="K278" s="39"/>
    </row>
    <row r="279" customFormat="false" ht="15" hidden="false" customHeight="false" outlineLevel="0" collapsed="false">
      <c r="A279" s="39" t="s">
        <v>389</v>
      </c>
      <c r="B279" s="40" t="n">
        <v>46227</v>
      </c>
      <c r="C279" s="39" t="s">
        <v>53</v>
      </c>
      <c r="D279" s="39" t="s">
        <v>37</v>
      </c>
      <c r="E279" s="39" t="s">
        <v>131</v>
      </c>
      <c r="F279" s="39" t="n">
        <v>1</v>
      </c>
      <c r="G279" s="41" t="n">
        <v>548</v>
      </c>
      <c r="H279" s="42" t="n">
        <f aca="false">F279*G279</f>
        <v>548</v>
      </c>
      <c r="I279" s="39" t="s">
        <v>34</v>
      </c>
      <c r="J279" s="39" t="s">
        <v>42</v>
      </c>
      <c r="K279" s="39" t="n">
        <v>3</v>
      </c>
    </row>
    <row r="280" customFormat="false" ht="15" hidden="false" customHeight="false" outlineLevel="0" collapsed="false">
      <c r="A280" s="39" t="s">
        <v>390</v>
      </c>
      <c r="B280" s="40" t="n">
        <v>46227</v>
      </c>
      <c r="C280" s="39" t="s">
        <v>49</v>
      </c>
      <c r="D280" s="39" t="s">
        <v>37</v>
      </c>
      <c r="E280" s="39" t="s">
        <v>97</v>
      </c>
      <c r="F280" s="39" t="n">
        <v>1</v>
      </c>
      <c r="G280" s="41" t="n">
        <v>418</v>
      </c>
      <c r="H280" s="42" t="n">
        <f aca="false">F280*G280</f>
        <v>418</v>
      </c>
      <c r="I280" s="39" t="s">
        <v>36</v>
      </c>
      <c r="J280" s="39" t="s">
        <v>42</v>
      </c>
      <c r="K280" s="39" t="n">
        <v>4</v>
      </c>
    </row>
    <row r="281" customFormat="false" ht="15" hidden="false" customHeight="false" outlineLevel="0" collapsed="false">
      <c r="A281" s="39" t="s">
        <v>391</v>
      </c>
      <c r="B281" s="40" t="n">
        <v>46227</v>
      </c>
      <c r="C281" s="39" t="s">
        <v>52</v>
      </c>
      <c r="D281" s="39" t="s">
        <v>35</v>
      </c>
      <c r="E281" s="39" t="s">
        <v>95</v>
      </c>
      <c r="F281" s="39" t="n">
        <v>1</v>
      </c>
      <c r="G281" s="41" t="n">
        <v>308</v>
      </c>
      <c r="H281" s="42" t="n">
        <f aca="false">F281*G281</f>
        <v>308</v>
      </c>
      <c r="I281" s="39" t="s">
        <v>34</v>
      </c>
      <c r="J281" s="39" t="s">
        <v>42</v>
      </c>
      <c r="K281" s="39" t="n">
        <v>4</v>
      </c>
    </row>
    <row r="282" customFormat="false" ht="15" hidden="false" customHeight="false" outlineLevel="0" collapsed="false">
      <c r="A282" s="39" t="s">
        <v>392</v>
      </c>
      <c r="B282" s="40" t="n">
        <v>46227</v>
      </c>
      <c r="C282" s="39" t="s">
        <v>53</v>
      </c>
      <c r="D282" s="39" t="s">
        <v>37</v>
      </c>
      <c r="E282" s="39" t="s">
        <v>97</v>
      </c>
      <c r="F282" s="39" t="n">
        <v>1</v>
      </c>
      <c r="G282" s="41" t="n">
        <v>328</v>
      </c>
      <c r="H282" s="42" t="n">
        <f aca="false">F282*G282</f>
        <v>328</v>
      </c>
      <c r="I282" s="39" t="s">
        <v>36</v>
      </c>
      <c r="J282" s="39" t="s">
        <v>42</v>
      </c>
      <c r="K282" s="39" t="n">
        <v>2</v>
      </c>
    </row>
    <row r="283" customFormat="false" ht="15" hidden="false" customHeight="false" outlineLevel="0" collapsed="false">
      <c r="A283" s="39" t="s">
        <v>393</v>
      </c>
      <c r="B283" s="40" t="n">
        <v>46227</v>
      </c>
      <c r="C283" s="39" t="s">
        <v>51</v>
      </c>
      <c r="D283" s="39" t="s">
        <v>37</v>
      </c>
      <c r="E283" s="39" t="s">
        <v>97</v>
      </c>
      <c r="F283" s="39" t="n">
        <v>1</v>
      </c>
      <c r="G283" s="41" t="n">
        <v>518</v>
      </c>
      <c r="H283" s="42" t="n">
        <f aca="false">F283*G283</f>
        <v>518</v>
      </c>
      <c r="I283" s="39" t="s">
        <v>34</v>
      </c>
      <c r="J283" s="39" t="s">
        <v>43</v>
      </c>
      <c r="K283" s="39" t="n">
        <v>4</v>
      </c>
    </row>
    <row r="284" customFormat="false" ht="15" hidden="false" customHeight="false" outlineLevel="0" collapsed="false">
      <c r="A284" s="39" t="s">
        <v>394</v>
      </c>
      <c r="B284" s="40" t="n">
        <v>46227</v>
      </c>
      <c r="C284" s="39" t="s">
        <v>50</v>
      </c>
      <c r="D284" s="39" t="s">
        <v>37</v>
      </c>
      <c r="E284" s="39" t="s">
        <v>131</v>
      </c>
      <c r="F284" s="39" t="n">
        <v>3</v>
      </c>
      <c r="G284" s="41" t="n">
        <v>448</v>
      </c>
      <c r="H284" s="42" t="n">
        <f aca="false">F284*G284</f>
        <v>1344</v>
      </c>
      <c r="I284" s="39" t="s">
        <v>34</v>
      </c>
      <c r="J284" s="39" t="s">
        <v>42</v>
      </c>
      <c r="K284" s="39" t="n">
        <v>5</v>
      </c>
    </row>
    <row r="285" customFormat="false" ht="15" hidden="false" customHeight="false" outlineLevel="0" collapsed="false">
      <c r="A285" s="39" t="s">
        <v>395</v>
      </c>
      <c r="B285" s="40" t="n">
        <v>46227</v>
      </c>
      <c r="C285" s="39" t="s">
        <v>51</v>
      </c>
      <c r="D285" s="39" t="s">
        <v>37</v>
      </c>
      <c r="E285" s="39" t="s">
        <v>131</v>
      </c>
      <c r="F285" s="39" t="n">
        <v>2</v>
      </c>
      <c r="G285" s="41" t="n">
        <v>378</v>
      </c>
      <c r="H285" s="42" t="n">
        <f aca="false">F285*G285</f>
        <v>756</v>
      </c>
      <c r="I285" s="39" t="s">
        <v>36</v>
      </c>
      <c r="J285" s="39" t="s">
        <v>42</v>
      </c>
      <c r="K285" s="39" t="n">
        <v>5</v>
      </c>
    </row>
    <row r="286" customFormat="false" ht="15" hidden="false" customHeight="false" outlineLevel="0" collapsed="false">
      <c r="A286" s="39" t="s">
        <v>396</v>
      </c>
      <c r="B286" s="40" t="n">
        <v>46227</v>
      </c>
      <c r="C286" s="39" t="s">
        <v>49</v>
      </c>
      <c r="D286" s="39" t="s">
        <v>33</v>
      </c>
      <c r="E286" s="39" t="s">
        <v>114</v>
      </c>
      <c r="F286" s="39" t="n">
        <v>1</v>
      </c>
      <c r="G286" s="41" t="n">
        <v>648</v>
      </c>
      <c r="H286" s="42" t="n">
        <f aca="false">F286*G286</f>
        <v>648</v>
      </c>
      <c r="I286" s="39" t="s">
        <v>36</v>
      </c>
      <c r="J286" s="39" t="s">
        <v>42</v>
      </c>
      <c r="K286" s="39" t="n">
        <v>4</v>
      </c>
    </row>
    <row r="287" customFormat="false" ht="15" hidden="false" customHeight="false" outlineLevel="0" collapsed="false">
      <c r="A287" s="39" t="s">
        <v>397</v>
      </c>
      <c r="B287" s="40" t="n">
        <v>46228</v>
      </c>
      <c r="C287" s="39" t="s">
        <v>50</v>
      </c>
      <c r="D287" s="39" t="s">
        <v>33</v>
      </c>
      <c r="E287" s="39" t="s">
        <v>114</v>
      </c>
      <c r="F287" s="39" t="n">
        <v>2</v>
      </c>
      <c r="G287" s="41" t="n">
        <v>898</v>
      </c>
      <c r="H287" s="42" t="n">
        <f aca="false">F287*G287</f>
        <v>1796</v>
      </c>
      <c r="I287" s="39" t="s">
        <v>34</v>
      </c>
      <c r="J287" s="39" t="s">
        <v>42</v>
      </c>
      <c r="K287" s="39" t="n">
        <v>2</v>
      </c>
    </row>
    <row r="288" customFormat="false" ht="15" hidden="false" customHeight="false" outlineLevel="0" collapsed="false">
      <c r="A288" s="39" t="s">
        <v>398</v>
      </c>
      <c r="B288" s="40" t="n">
        <v>46228</v>
      </c>
      <c r="C288" s="39" t="s">
        <v>48</v>
      </c>
      <c r="D288" s="39" t="s">
        <v>37</v>
      </c>
      <c r="E288" s="39" t="s">
        <v>141</v>
      </c>
      <c r="F288" s="39" t="n">
        <v>1</v>
      </c>
      <c r="G288" s="41" t="n">
        <v>258</v>
      </c>
      <c r="H288" s="42" t="n">
        <f aca="false">F288*G288</f>
        <v>258</v>
      </c>
      <c r="I288" s="39" t="s">
        <v>34</v>
      </c>
      <c r="J288" s="39" t="s">
        <v>42</v>
      </c>
      <c r="K288" s="39" t="n">
        <v>3</v>
      </c>
    </row>
    <row r="289" customFormat="false" ht="15" hidden="false" customHeight="false" outlineLevel="0" collapsed="false">
      <c r="A289" s="39" t="s">
        <v>399</v>
      </c>
      <c r="B289" s="40" t="n">
        <v>46228</v>
      </c>
      <c r="C289" s="39" t="s">
        <v>101</v>
      </c>
      <c r="D289" s="39" t="s">
        <v>35</v>
      </c>
      <c r="E289" s="39" t="s">
        <v>95</v>
      </c>
      <c r="F289" s="39" t="n">
        <v>1</v>
      </c>
      <c r="G289" s="41" t="n">
        <v>638</v>
      </c>
      <c r="H289" s="42" t="n">
        <f aca="false">F289*G289</f>
        <v>638</v>
      </c>
      <c r="I289" s="39" t="s">
        <v>36</v>
      </c>
      <c r="J289" s="39" t="s">
        <v>42</v>
      </c>
      <c r="K289" s="39" t="n">
        <v>3</v>
      </c>
    </row>
    <row r="290" customFormat="false" ht="15" hidden="false" customHeight="false" outlineLevel="0" collapsed="false">
      <c r="A290" s="39" t="s">
        <v>400</v>
      </c>
      <c r="B290" s="40" t="n">
        <v>46228</v>
      </c>
      <c r="C290" s="39" t="s">
        <v>101</v>
      </c>
      <c r="D290" s="39" t="s">
        <v>35</v>
      </c>
      <c r="E290" s="39" t="s">
        <v>159</v>
      </c>
      <c r="F290" s="39" t="n">
        <v>3</v>
      </c>
      <c r="G290" s="41" t="n">
        <v>258</v>
      </c>
      <c r="H290" s="42" t="n">
        <f aca="false">F290*G290</f>
        <v>774</v>
      </c>
      <c r="I290" s="39" t="s">
        <v>36</v>
      </c>
      <c r="J290" s="39" t="s">
        <v>47</v>
      </c>
      <c r="K290" s="39"/>
    </row>
    <row r="291" customFormat="false" ht="15" hidden="false" customHeight="false" outlineLevel="0" collapsed="false">
      <c r="A291" s="39" t="s">
        <v>401</v>
      </c>
      <c r="B291" s="40" t="n">
        <v>46228</v>
      </c>
      <c r="C291" s="39" t="s">
        <v>49</v>
      </c>
      <c r="D291" s="39" t="s">
        <v>38</v>
      </c>
      <c r="E291" s="39" t="s">
        <v>110</v>
      </c>
      <c r="F291" s="39" t="n">
        <v>1</v>
      </c>
      <c r="G291" s="41" t="n">
        <v>978</v>
      </c>
      <c r="H291" s="42" t="n">
        <f aca="false">F291*G291</f>
        <v>978</v>
      </c>
      <c r="I291" s="39" t="s">
        <v>34</v>
      </c>
      <c r="J291" s="39" t="s">
        <v>42</v>
      </c>
      <c r="K291" s="39" t="n">
        <v>5</v>
      </c>
    </row>
    <row r="292" customFormat="false" ht="15" hidden="false" customHeight="false" outlineLevel="0" collapsed="false">
      <c r="A292" s="39" t="s">
        <v>402</v>
      </c>
      <c r="B292" s="40" t="n">
        <v>46228</v>
      </c>
      <c r="C292" s="39" t="s">
        <v>50</v>
      </c>
      <c r="D292" s="39" t="s">
        <v>35</v>
      </c>
      <c r="E292" s="39" t="s">
        <v>125</v>
      </c>
      <c r="F292" s="39" t="n">
        <v>3</v>
      </c>
      <c r="G292" s="41" t="n">
        <v>428</v>
      </c>
      <c r="H292" s="42" t="n">
        <f aca="false">F292*G292</f>
        <v>1284</v>
      </c>
      <c r="I292" s="39" t="s">
        <v>34</v>
      </c>
      <c r="J292" s="39" t="s">
        <v>42</v>
      </c>
      <c r="K292" s="39" t="n">
        <v>6</v>
      </c>
    </row>
    <row r="293" customFormat="false" ht="15" hidden="false" customHeight="false" outlineLevel="0" collapsed="false">
      <c r="A293" s="39" t="s">
        <v>403</v>
      </c>
      <c r="B293" s="40" t="n">
        <v>46228</v>
      </c>
      <c r="C293" s="39" t="s">
        <v>52</v>
      </c>
      <c r="D293" s="39" t="s">
        <v>39</v>
      </c>
      <c r="E293" s="39" t="s">
        <v>99</v>
      </c>
      <c r="F293" s="39" t="n">
        <v>1</v>
      </c>
      <c r="G293" s="41" t="n">
        <v>798</v>
      </c>
      <c r="H293" s="42" t="n">
        <f aca="false">F293*G293</f>
        <v>798</v>
      </c>
      <c r="I293" s="39" t="s">
        <v>34</v>
      </c>
      <c r="J293" s="39" t="s">
        <v>42</v>
      </c>
      <c r="K293" s="39" t="n">
        <v>4</v>
      </c>
    </row>
    <row r="294" customFormat="false" ht="15" hidden="false" customHeight="false" outlineLevel="0" collapsed="false">
      <c r="A294" s="39" t="s">
        <v>404</v>
      </c>
      <c r="B294" s="40" t="n">
        <v>46228</v>
      </c>
      <c r="C294" s="39" t="s">
        <v>52</v>
      </c>
      <c r="D294" s="39" t="s">
        <v>37</v>
      </c>
      <c r="E294" s="39" t="s">
        <v>131</v>
      </c>
      <c r="F294" s="39" t="n">
        <v>1</v>
      </c>
      <c r="G294" s="41" t="n">
        <v>238</v>
      </c>
      <c r="H294" s="42" t="n">
        <f aca="false">F294*G294</f>
        <v>238</v>
      </c>
      <c r="I294" s="39" t="s">
        <v>34</v>
      </c>
      <c r="J294" s="39" t="s">
        <v>42</v>
      </c>
      <c r="K294" s="39" t="n">
        <v>4</v>
      </c>
    </row>
    <row r="295" customFormat="false" ht="15" hidden="false" customHeight="false" outlineLevel="0" collapsed="false">
      <c r="A295" s="39" t="s">
        <v>405</v>
      </c>
      <c r="B295" s="40" t="n">
        <v>46228</v>
      </c>
      <c r="C295" s="39" t="s">
        <v>52</v>
      </c>
      <c r="D295" s="39" t="s">
        <v>38</v>
      </c>
      <c r="E295" s="39" t="s">
        <v>121</v>
      </c>
      <c r="F295" s="39" t="n">
        <v>1</v>
      </c>
      <c r="G295" s="41" t="n">
        <v>458</v>
      </c>
      <c r="H295" s="42" t="n">
        <f aca="false">F295*G295</f>
        <v>458</v>
      </c>
      <c r="I295" s="39" t="s">
        <v>34</v>
      </c>
      <c r="J295" s="39" t="s">
        <v>42</v>
      </c>
      <c r="K295" s="39" t="n">
        <v>3</v>
      </c>
    </row>
    <row r="296" customFormat="false" ht="15" hidden="false" customHeight="false" outlineLevel="0" collapsed="false">
      <c r="A296" s="39" t="s">
        <v>406</v>
      </c>
      <c r="B296" s="40" t="n">
        <v>46228</v>
      </c>
      <c r="C296" s="39" t="s">
        <v>109</v>
      </c>
      <c r="D296" s="39" t="s">
        <v>33</v>
      </c>
      <c r="E296" s="39" t="s">
        <v>102</v>
      </c>
      <c r="F296" s="39" t="n">
        <v>1</v>
      </c>
      <c r="G296" s="41" t="n">
        <v>568</v>
      </c>
      <c r="H296" s="42" t="n">
        <f aca="false">F296*G296</f>
        <v>568</v>
      </c>
      <c r="I296" s="39" t="s">
        <v>34</v>
      </c>
      <c r="J296" s="39" t="s">
        <v>42</v>
      </c>
      <c r="K296" s="39" t="n">
        <v>4</v>
      </c>
    </row>
    <row r="297" customFormat="false" ht="15" hidden="false" customHeight="false" outlineLevel="0" collapsed="false">
      <c r="A297" s="39" t="s">
        <v>407</v>
      </c>
      <c r="B297" s="40" t="n">
        <v>46228</v>
      </c>
      <c r="C297" s="39" t="s">
        <v>52</v>
      </c>
      <c r="D297" s="39" t="s">
        <v>39</v>
      </c>
      <c r="E297" s="39" t="s">
        <v>129</v>
      </c>
      <c r="F297" s="39" t="n">
        <v>1</v>
      </c>
      <c r="G297" s="41" t="n">
        <v>658</v>
      </c>
      <c r="H297" s="42" t="n">
        <f aca="false">F297*G297</f>
        <v>658</v>
      </c>
      <c r="I297" s="39" t="s">
        <v>34</v>
      </c>
      <c r="J297" s="39" t="s">
        <v>42</v>
      </c>
      <c r="K297" s="39" t="n">
        <v>3</v>
      </c>
    </row>
    <row r="298" customFormat="false" ht="15" hidden="false" customHeight="false" outlineLevel="0" collapsed="false">
      <c r="A298" s="39" t="s">
        <v>408</v>
      </c>
      <c r="B298" s="40" t="n">
        <v>46228</v>
      </c>
      <c r="C298" s="39" t="s">
        <v>101</v>
      </c>
      <c r="D298" s="39" t="s">
        <v>38</v>
      </c>
      <c r="E298" s="39" t="s">
        <v>107</v>
      </c>
      <c r="F298" s="39" t="n">
        <v>1</v>
      </c>
      <c r="G298" s="41" t="n">
        <v>738</v>
      </c>
      <c r="H298" s="42" t="n">
        <f aca="false">F298*G298</f>
        <v>738</v>
      </c>
      <c r="I298" s="39" t="s">
        <v>34</v>
      </c>
      <c r="J298" s="39" t="s">
        <v>43</v>
      </c>
      <c r="K298" s="39" t="n">
        <v>3</v>
      </c>
    </row>
    <row r="299" customFormat="false" ht="15" hidden="false" customHeight="false" outlineLevel="0" collapsed="false">
      <c r="A299" s="39" t="s">
        <v>409</v>
      </c>
      <c r="B299" s="40" t="n">
        <v>46228</v>
      </c>
      <c r="C299" s="39" t="s">
        <v>48</v>
      </c>
      <c r="D299" s="39" t="s">
        <v>35</v>
      </c>
      <c r="E299" s="39" t="s">
        <v>159</v>
      </c>
      <c r="F299" s="39" t="n">
        <v>1</v>
      </c>
      <c r="G299" s="41" t="n">
        <v>738</v>
      </c>
      <c r="H299" s="42" t="n">
        <f aca="false">F299*G299</f>
        <v>738</v>
      </c>
      <c r="I299" s="39" t="s">
        <v>36</v>
      </c>
      <c r="J299" s="39" t="s">
        <v>45</v>
      </c>
      <c r="K299" s="39"/>
    </row>
    <row r="300" customFormat="false" ht="15" hidden="false" customHeight="false" outlineLevel="0" collapsed="false">
      <c r="A300" s="39" t="s">
        <v>410</v>
      </c>
      <c r="B300" s="40" t="n">
        <v>46228</v>
      </c>
      <c r="C300" s="39" t="s">
        <v>53</v>
      </c>
      <c r="D300" s="39" t="s">
        <v>33</v>
      </c>
      <c r="E300" s="39" t="s">
        <v>114</v>
      </c>
      <c r="F300" s="39" t="n">
        <v>1</v>
      </c>
      <c r="G300" s="41" t="n">
        <v>848</v>
      </c>
      <c r="H300" s="42" t="n">
        <f aca="false">F300*G300</f>
        <v>848</v>
      </c>
      <c r="I300" s="39" t="s">
        <v>34</v>
      </c>
      <c r="J300" s="39" t="s">
        <v>42</v>
      </c>
      <c r="K300" s="39" t="n">
        <v>5</v>
      </c>
    </row>
    <row r="301" customFormat="false" ht="15" hidden="false" customHeight="false" outlineLevel="0" collapsed="false">
      <c r="A301" s="39" t="s">
        <v>411</v>
      </c>
      <c r="B301" s="40" t="n">
        <v>46228</v>
      </c>
      <c r="C301" s="39" t="s">
        <v>51</v>
      </c>
      <c r="D301" s="39" t="s">
        <v>35</v>
      </c>
      <c r="E301" s="39" t="s">
        <v>95</v>
      </c>
      <c r="F301" s="39" t="n">
        <v>1</v>
      </c>
      <c r="G301" s="41" t="n">
        <v>338</v>
      </c>
      <c r="H301" s="42" t="n">
        <f aca="false">F301*G301</f>
        <v>338</v>
      </c>
      <c r="I301" s="39" t="s">
        <v>36</v>
      </c>
      <c r="J301" s="39" t="s">
        <v>42</v>
      </c>
      <c r="K301" s="39" t="n">
        <v>3</v>
      </c>
    </row>
    <row r="302" customFormat="false" ht="15" hidden="false" customHeight="false" outlineLevel="0" collapsed="false">
      <c r="A302" s="39" t="s">
        <v>412</v>
      </c>
      <c r="B302" s="40" t="n">
        <v>46228</v>
      </c>
      <c r="C302" s="39" t="s">
        <v>52</v>
      </c>
      <c r="D302" s="39" t="s">
        <v>33</v>
      </c>
      <c r="E302" s="39" t="s">
        <v>136</v>
      </c>
      <c r="F302" s="39" t="n">
        <v>1</v>
      </c>
      <c r="G302" s="41" t="n">
        <v>758</v>
      </c>
      <c r="H302" s="42" t="n">
        <f aca="false">F302*G302</f>
        <v>758</v>
      </c>
      <c r="I302" s="39" t="s">
        <v>36</v>
      </c>
      <c r="J302" s="39" t="s">
        <v>42</v>
      </c>
      <c r="K302" s="39" t="n">
        <v>3</v>
      </c>
    </row>
    <row r="303" customFormat="false" ht="15" hidden="false" customHeight="false" outlineLevel="0" collapsed="false">
      <c r="A303" s="39" t="s">
        <v>413</v>
      </c>
      <c r="B303" s="40" t="n">
        <v>46228</v>
      </c>
      <c r="C303" s="39" t="s">
        <v>49</v>
      </c>
      <c r="D303" s="39" t="s">
        <v>33</v>
      </c>
      <c r="E303" s="39" t="s">
        <v>114</v>
      </c>
      <c r="F303" s="39" t="n">
        <v>1</v>
      </c>
      <c r="G303" s="41" t="n">
        <v>308</v>
      </c>
      <c r="H303" s="42" t="n">
        <f aca="false">F303*G303</f>
        <v>308</v>
      </c>
      <c r="I303" s="39" t="s">
        <v>36</v>
      </c>
      <c r="J303" s="39" t="s">
        <v>47</v>
      </c>
      <c r="K303" s="39"/>
    </row>
    <row r="304" customFormat="false" ht="15" hidden="false" customHeight="false" outlineLevel="0" collapsed="false">
      <c r="A304" s="39" t="s">
        <v>414</v>
      </c>
      <c r="B304" s="40" t="n">
        <v>46229</v>
      </c>
      <c r="C304" s="39" t="s">
        <v>52</v>
      </c>
      <c r="D304" s="39" t="s">
        <v>37</v>
      </c>
      <c r="E304" s="39" t="s">
        <v>131</v>
      </c>
      <c r="F304" s="39" t="n">
        <v>2</v>
      </c>
      <c r="G304" s="41" t="n">
        <v>608</v>
      </c>
      <c r="H304" s="42" t="n">
        <f aca="false">F304*G304</f>
        <v>1216</v>
      </c>
      <c r="I304" s="39" t="s">
        <v>36</v>
      </c>
      <c r="J304" s="39" t="s">
        <v>42</v>
      </c>
      <c r="K304" s="39" t="n">
        <v>4</v>
      </c>
    </row>
    <row r="305" customFormat="false" ht="15" hidden="false" customHeight="false" outlineLevel="0" collapsed="false">
      <c r="A305" s="39" t="s">
        <v>415</v>
      </c>
      <c r="B305" s="40" t="n">
        <v>46229</v>
      </c>
      <c r="C305" s="39" t="s">
        <v>51</v>
      </c>
      <c r="D305" s="39" t="s">
        <v>35</v>
      </c>
      <c r="E305" s="39" t="s">
        <v>159</v>
      </c>
      <c r="F305" s="39" t="n">
        <v>1</v>
      </c>
      <c r="G305" s="41" t="n">
        <v>688</v>
      </c>
      <c r="H305" s="42" t="n">
        <f aca="false">F305*G305</f>
        <v>688</v>
      </c>
      <c r="I305" s="39" t="s">
        <v>36</v>
      </c>
      <c r="J305" s="39" t="s">
        <v>42</v>
      </c>
      <c r="K305" s="39" t="n">
        <v>5</v>
      </c>
    </row>
    <row r="306" customFormat="false" ht="15" hidden="false" customHeight="false" outlineLevel="0" collapsed="false">
      <c r="A306" s="39" t="s">
        <v>416</v>
      </c>
      <c r="B306" s="40" t="n">
        <v>46229</v>
      </c>
      <c r="C306" s="39" t="s">
        <v>109</v>
      </c>
      <c r="D306" s="39" t="s">
        <v>35</v>
      </c>
      <c r="E306" s="39" t="s">
        <v>95</v>
      </c>
      <c r="F306" s="39" t="n">
        <v>1</v>
      </c>
      <c r="G306" s="41" t="n">
        <v>748</v>
      </c>
      <c r="H306" s="42" t="n">
        <f aca="false">F306*G306</f>
        <v>748</v>
      </c>
      <c r="I306" s="39" t="s">
        <v>34</v>
      </c>
      <c r="J306" s="39" t="s">
        <v>42</v>
      </c>
      <c r="K306" s="39" t="n">
        <v>6</v>
      </c>
    </row>
    <row r="307" customFormat="false" ht="15" hidden="false" customHeight="false" outlineLevel="0" collapsed="false">
      <c r="A307" s="39" t="s">
        <v>417</v>
      </c>
      <c r="B307" s="40" t="n">
        <v>46229</v>
      </c>
      <c r="C307" s="39" t="s">
        <v>52</v>
      </c>
      <c r="D307" s="39" t="s">
        <v>33</v>
      </c>
      <c r="E307" s="39" t="s">
        <v>114</v>
      </c>
      <c r="F307" s="39" t="n">
        <v>2</v>
      </c>
      <c r="G307" s="41" t="n">
        <v>788</v>
      </c>
      <c r="H307" s="42" t="n">
        <f aca="false">F307*G307</f>
        <v>1576</v>
      </c>
      <c r="I307" s="39" t="s">
        <v>34</v>
      </c>
      <c r="J307" s="39" t="s">
        <v>42</v>
      </c>
      <c r="K307" s="39" t="n">
        <v>5</v>
      </c>
    </row>
    <row r="308" customFormat="false" ht="15" hidden="false" customHeight="false" outlineLevel="0" collapsed="false">
      <c r="A308" s="39" t="s">
        <v>418</v>
      </c>
      <c r="B308" s="40" t="n">
        <v>46229</v>
      </c>
      <c r="C308" s="39" t="s">
        <v>53</v>
      </c>
      <c r="D308" s="39" t="s">
        <v>35</v>
      </c>
      <c r="E308" s="39" t="s">
        <v>159</v>
      </c>
      <c r="F308" s="39" t="n">
        <v>1</v>
      </c>
      <c r="G308" s="41" t="n">
        <v>588</v>
      </c>
      <c r="H308" s="42" t="n">
        <f aca="false">F308*G308</f>
        <v>588</v>
      </c>
      <c r="I308" s="39" t="s">
        <v>34</v>
      </c>
      <c r="J308" s="39" t="s">
        <v>42</v>
      </c>
      <c r="K308" s="39" t="n">
        <v>3</v>
      </c>
    </row>
    <row r="309" customFormat="false" ht="15" hidden="false" customHeight="false" outlineLevel="0" collapsed="false">
      <c r="A309" s="39" t="s">
        <v>419</v>
      </c>
      <c r="B309" s="40" t="n">
        <v>46229</v>
      </c>
      <c r="C309" s="39" t="s">
        <v>49</v>
      </c>
      <c r="D309" s="39" t="s">
        <v>39</v>
      </c>
      <c r="E309" s="39" t="s">
        <v>99</v>
      </c>
      <c r="F309" s="39" t="n">
        <v>3</v>
      </c>
      <c r="G309" s="41" t="n">
        <v>428</v>
      </c>
      <c r="H309" s="42" t="n">
        <f aca="false">F309*G309</f>
        <v>1284</v>
      </c>
      <c r="I309" s="39" t="s">
        <v>34</v>
      </c>
      <c r="J309" s="39" t="s">
        <v>43</v>
      </c>
      <c r="K309" s="39" t="n">
        <v>3</v>
      </c>
    </row>
    <row r="310" customFormat="false" ht="15" hidden="false" customHeight="false" outlineLevel="0" collapsed="false">
      <c r="A310" s="39" t="s">
        <v>420</v>
      </c>
      <c r="B310" s="40" t="n">
        <v>46229</v>
      </c>
      <c r="C310" s="39" t="s">
        <v>109</v>
      </c>
      <c r="D310" s="39" t="s">
        <v>39</v>
      </c>
      <c r="E310" s="39" t="s">
        <v>105</v>
      </c>
      <c r="F310" s="39" t="n">
        <v>1</v>
      </c>
      <c r="G310" s="41" t="n">
        <v>578</v>
      </c>
      <c r="H310" s="42" t="n">
        <f aca="false">F310*G310</f>
        <v>578</v>
      </c>
      <c r="I310" s="39" t="s">
        <v>34</v>
      </c>
      <c r="J310" s="39" t="s">
        <v>42</v>
      </c>
      <c r="K310" s="39" t="n">
        <v>4</v>
      </c>
    </row>
    <row r="311" customFormat="false" ht="15" hidden="false" customHeight="false" outlineLevel="0" collapsed="false">
      <c r="A311" s="39" t="s">
        <v>421</v>
      </c>
      <c r="B311" s="40" t="n">
        <v>46229</v>
      </c>
      <c r="C311" s="39" t="s">
        <v>52</v>
      </c>
      <c r="D311" s="39" t="s">
        <v>38</v>
      </c>
      <c r="E311" s="39" t="s">
        <v>107</v>
      </c>
      <c r="F311" s="39" t="n">
        <v>1</v>
      </c>
      <c r="G311" s="41" t="n">
        <v>378</v>
      </c>
      <c r="H311" s="42" t="n">
        <f aca="false">F311*G311</f>
        <v>378</v>
      </c>
      <c r="I311" s="39" t="s">
        <v>34</v>
      </c>
      <c r="J311" s="39" t="s">
        <v>42</v>
      </c>
      <c r="K311" s="39" t="n">
        <v>4</v>
      </c>
    </row>
    <row r="312" customFormat="false" ht="15" hidden="false" customHeight="false" outlineLevel="0" collapsed="false">
      <c r="A312" s="39" t="s">
        <v>422</v>
      </c>
      <c r="B312" s="40" t="n">
        <v>46229</v>
      </c>
      <c r="C312" s="39" t="s">
        <v>101</v>
      </c>
      <c r="D312" s="39" t="s">
        <v>39</v>
      </c>
      <c r="E312" s="39" t="s">
        <v>99</v>
      </c>
      <c r="F312" s="39" t="n">
        <v>2</v>
      </c>
      <c r="G312" s="41" t="n">
        <v>728</v>
      </c>
      <c r="H312" s="42" t="n">
        <f aca="false">F312*G312</f>
        <v>1456</v>
      </c>
      <c r="I312" s="39" t="s">
        <v>34</v>
      </c>
      <c r="J312" s="39" t="s">
        <v>42</v>
      </c>
      <c r="K312" s="39" t="n">
        <v>5</v>
      </c>
    </row>
    <row r="313" customFormat="false" ht="15" hidden="false" customHeight="false" outlineLevel="0" collapsed="false">
      <c r="A313" s="39" t="s">
        <v>423</v>
      </c>
      <c r="B313" s="40" t="n">
        <v>46229</v>
      </c>
      <c r="C313" s="39" t="s">
        <v>48</v>
      </c>
      <c r="D313" s="39" t="s">
        <v>39</v>
      </c>
      <c r="E313" s="39" t="s">
        <v>99</v>
      </c>
      <c r="F313" s="39" t="n">
        <v>1</v>
      </c>
      <c r="G313" s="41" t="n">
        <v>978</v>
      </c>
      <c r="H313" s="42" t="n">
        <f aca="false">F313*G313</f>
        <v>978</v>
      </c>
      <c r="I313" s="39" t="s">
        <v>34</v>
      </c>
      <c r="J313" s="39" t="s">
        <v>42</v>
      </c>
      <c r="K313" s="39" t="n">
        <v>3</v>
      </c>
    </row>
    <row r="314" customFormat="false" ht="15" hidden="false" customHeight="false" outlineLevel="0" collapsed="false">
      <c r="A314" s="39" t="s">
        <v>424</v>
      </c>
      <c r="B314" s="40" t="n">
        <v>46229</v>
      </c>
      <c r="C314" s="39" t="s">
        <v>49</v>
      </c>
      <c r="D314" s="39" t="s">
        <v>33</v>
      </c>
      <c r="E314" s="39" t="s">
        <v>114</v>
      </c>
      <c r="F314" s="39" t="n">
        <v>1</v>
      </c>
      <c r="G314" s="41" t="n">
        <v>638</v>
      </c>
      <c r="H314" s="42" t="n">
        <f aca="false">F314*G314</f>
        <v>638</v>
      </c>
      <c r="I314" s="39" t="s">
        <v>36</v>
      </c>
      <c r="J314" s="39" t="s">
        <v>47</v>
      </c>
      <c r="K314" s="39"/>
    </row>
    <row r="315" customFormat="false" ht="15" hidden="false" customHeight="false" outlineLevel="0" collapsed="false">
      <c r="A315" s="39" t="s">
        <v>425</v>
      </c>
      <c r="B315" s="40" t="n">
        <v>46229</v>
      </c>
      <c r="C315" s="39" t="s">
        <v>52</v>
      </c>
      <c r="D315" s="39" t="s">
        <v>35</v>
      </c>
      <c r="E315" s="39" t="s">
        <v>95</v>
      </c>
      <c r="F315" s="39" t="n">
        <v>1</v>
      </c>
      <c r="G315" s="41" t="n">
        <v>528</v>
      </c>
      <c r="H315" s="42" t="n">
        <f aca="false">F315*G315</f>
        <v>528</v>
      </c>
      <c r="I315" s="39" t="s">
        <v>34</v>
      </c>
      <c r="J315" s="39" t="s">
        <v>42</v>
      </c>
      <c r="K315" s="39" t="n">
        <v>3</v>
      </c>
    </row>
    <row r="316" customFormat="false" ht="15" hidden="false" customHeight="false" outlineLevel="0" collapsed="false">
      <c r="A316" s="39" t="s">
        <v>426</v>
      </c>
      <c r="B316" s="40" t="n">
        <v>46229</v>
      </c>
      <c r="C316" s="39" t="s">
        <v>53</v>
      </c>
      <c r="D316" s="39" t="s">
        <v>37</v>
      </c>
      <c r="E316" s="39" t="s">
        <v>97</v>
      </c>
      <c r="F316" s="39" t="n">
        <v>1</v>
      </c>
      <c r="G316" s="41" t="n">
        <v>418</v>
      </c>
      <c r="H316" s="42" t="n">
        <f aca="false">F316*G316</f>
        <v>418</v>
      </c>
      <c r="I316" s="39" t="s">
        <v>36</v>
      </c>
      <c r="J316" s="39" t="s">
        <v>42</v>
      </c>
      <c r="K316" s="39" t="n">
        <v>3</v>
      </c>
    </row>
    <row r="317" customFormat="false" ht="15" hidden="false" customHeight="false" outlineLevel="0" collapsed="false">
      <c r="A317" s="39" t="s">
        <v>427</v>
      </c>
      <c r="B317" s="40" t="n">
        <v>46229</v>
      </c>
      <c r="C317" s="39" t="s">
        <v>51</v>
      </c>
      <c r="D317" s="39" t="s">
        <v>33</v>
      </c>
      <c r="E317" s="39" t="s">
        <v>117</v>
      </c>
      <c r="F317" s="39" t="n">
        <v>1</v>
      </c>
      <c r="G317" s="41" t="n">
        <v>728</v>
      </c>
      <c r="H317" s="42" t="n">
        <f aca="false">F317*G317</f>
        <v>728</v>
      </c>
      <c r="I317" s="39" t="s">
        <v>34</v>
      </c>
      <c r="J317" s="39" t="s">
        <v>42</v>
      </c>
      <c r="K317" s="39" t="n">
        <v>3</v>
      </c>
    </row>
    <row r="318" customFormat="false" ht="15" hidden="false" customHeight="false" outlineLevel="0" collapsed="false">
      <c r="A318" s="39" t="s">
        <v>428</v>
      </c>
      <c r="B318" s="40" t="n">
        <v>46230</v>
      </c>
      <c r="C318" s="39" t="s">
        <v>53</v>
      </c>
      <c r="D318" s="39" t="s">
        <v>33</v>
      </c>
      <c r="E318" s="39" t="s">
        <v>117</v>
      </c>
      <c r="F318" s="39" t="n">
        <v>1</v>
      </c>
      <c r="G318" s="41" t="n">
        <v>618</v>
      </c>
      <c r="H318" s="42" t="n">
        <f aca="false">F318*G318</f>
        <v>618</v>
      </c>
      <c r="I318" s="39" t="s">
        <v>36</v>
      </c>
      <c r="J318" s="39" t="s">
        <v>42</v>
      </c>
      <c r="K318" s="39" t="n">
        <v>2</v>
      </c>
    </row>
    <row r="319" customFormat="false" ht="15" hidden="false" customHeight="false" outlineLevel="0" collapsed="false">
      <c r="A319" s="39" t="s">
        <v>429</v>
      </c>
      <c r="B319" s="40" t="n">
        <v>46230</v>
      </c>
      <c r="C319" s="39" t="s">
        <v>50</v>
      </c>
      <c r="D319" s="39" t="s">
        <v>33</v>
      </c>
      <c r="E319" s="39" t="s">
        <v>117</v>
      </c>
      <c r="F319" s="39" t="n">
        <v>1</v>
      </c>
      <c r="G319" s="41" t="n">
        <v>458</v>
      </c>
      <c r="H319" s="42" t="n">
        <f aca="false">F319*G319</f>
        <v>458</v>
      </c>
      <c r="I319" s="39" t="s">
        <v>36</v>
      </c>
      <c r="J319" s="39" t="s">
        <v>47</v>
      </c>
      <c r="K319" s="39"/>
    </row>
    <row r="320" customFormat="false" ht="15" hidden="false" customHeight="false" outlineLevel="0" collapsed="false">
      <c r="A320" s="39" t="s">
        <v>430</v>
      </c>
      <c r="B320" s="40" t="n">
        <v>46230</v>
      </c>
      <c r="C320" s="39" t="s">
        <v>109</v>
      </c>
      <c r="D320" s="39" t="s">
        <v>33</v>
      </c>
      <c r="E320" s="39" t="s">
        <v>114</v>
      </c>
      <c r="F320" s="39" t="n">
        <v>1</v>
      </c>
      <c r="G320" s="41" t="n">
        <v>788</v>
      </c>
      <c r="H320" s="42" t="n">
        <f aca="false">F320*G320</f>
        <v>788</v>
      </c>
      <c r="I320" s="39" t="s">
        <v>36</v>
      </c>
      <c r="J320" s="39" t="s">
        <v>42</v>
      </c>
      <c r="K320" s="39" t="n">
        <v>5</v>
      </c>
    </row>
    <row r="321" customFormat="false" ht="15" hidden="false" customHeight="false" outlineLevel="0" collapsed="false">
      <c r="A321" s="39" t="s">
        <v>431</v>
      </c>
      <c r="B321" s="40" t="n">
        <v>46230</v>
      </c>
      <c r="C321" s="39" t="s">
        <v>49</v>
      </c>
      <c r="D321" s="39" t="s">
        <v>35</v>
      </c>
      <c r="E321" s="39" t="s">
        <v>159</v>
      </c>
      <c r="F321" s="39" t="n">
        <v>1</v>
      </c>
      <c r="G321" s="41" t="n">
        <v>428</v>
      </c>
      <c r="H321" s="42" t="n">
        <f aca="false">F321*G321</f>
        <v>428</v>
      </c>
      <c r="I321" s="39" t="s">
        <v>34</v>
      </c>
      <c r="J321" s="39" t="s">
        <v>42</v>
      </c>
      <c r="K321" s="39" t="n">
        <v>2</v>
      </c>
    </row>
    <row r="322" customFormat="false" ht="15" hidden="false" customHeight="false" outlineLevel="0" collapsed="false">
      <c r="A322" s="39" t="s">
        <v>432</v>
      </c>
      <c r="B322" s="40" t="n">
        <v>46230</v>
      </c>
      <c r="C322" s="39" t="s">
        <v>101</v>
      </c>
      <c r="D322" s="39" t="s">
        <v>37</v>
      </c>
      <c r="E322" s="39" t="s">
        <v>141</v>
      </c>
      <c r="F322" s="39" t="n">
        <v>1</v>
      </c>
      <c r="G322" s="41" t="n">
        <v>588</v>
      </c>
      <c r="H322" s="42" t="n">
        <f aca="false">F322*G322</f>
        <v>588</v>
      </c>
      <c r="I322" s="39" t="s">
        <v>34</v>
      </c>
      <c r="J322" s="39" t="s">
        <v>42</v>
      </c>
      <c r="K322" s="39" t="n">
        <v>5</v>
      </c>
    </row>
    <row r="323" customFormat="false" ht="15" hidden="false" customHeight="false" outlineLevel="0" collapsed="false">
      <c r="A323" s="39" t="s">
        <v>433</v>
      </c>
      <c r="B323" s="40" t="n">
        <v>46230</v>
      </c>
      <c r="C323" s="39" t="s">
        <v>109</v>
      </c>
      <c r="D323" s="39" t="s">
        <v>35</v>
      </c>
      <c r="E323" s="39" t="s">
        <v>95</v>
      </c>
      <c r="F323" s="39" t="n">
        <v>1</v>
      </c>
      <c r="G323" s="41" t="n">
        <v>688</v>
      </c>
      <c r="H323" s="42" t="n">
        <f aca="false">F323*G323</f>
        <v>688</v>
      </c>
      <c r="I323" s="39" t="s">
        <v>36</v>
      </c>
      <c r="J323" s="39" t="s">
        <v>42</v>
      </c>
      <c r="K323" s="39" t="n">
        <v>4</v>
      </c>
    </row>
    <row r="324" customFormat="false" ht="15" hidden="false" customHeight="false" outlineLevel="0" collapsed="false">
      <c r="A324" s="39" t="s">
        <v>434</v>
      </c>
      <c r="B324" s="40" t="n">
        <v>46230</v>
      </c>
      <c r="C324" s="39" t="s">
        <v>109</v>
      </c>
      <c r="D324" s="39" t="s">
        <v>38</v>
      </c>
      <c r="E324" s="39" t="s">
        <v>121</v>
      </c>
      <c r="F324" s="39" t="n">
        <v>1</v>
      </c>
      <c r="G324" s="41" t="n">
        <v>408</v>
      </c>
      <c r="H324" s="42" t="n">
        <f aca="false">F324*G324</f>
        <v>408</v>
      </c>
      <c r="I324" s="39" t="s">
        <v>34</v>
      </c>
      <c r="J324" s="39" t="s">
        <v>42</v>
      </c>
      <c r="K324" s="39" t="n">
        <v>3</v>
      </c>
    </row>
    <row r="325" customFormat="false" ht="15" hidden="false" customHeight="false" outlineLevel="0" collapsed="false">
      <c r="A325" s="39" t="s">
        <v>435</v>
      </c>
      <c r="B325" s="40" t="n">
        <v>46230</v>
      </c>
      <c r="C325" s="39" t="s">
        <v>48</v>
      </c>
      <c r="D325" s="39" t="s">
        <v>35</v>
      </c>
      <c r="E325" s="39" t="s">
        <v>159</v>
      </c>
      <c r="F325" s="39" t="n">
        <v>1</v>
      </c>
      <c r="G325" s="41" t="n">
        <v>618</v>
      </c>
      <c r="H325" s="42" t="n">
        <f aca="false">F325*G325</f>
        <v>618</v>
      </c>
      <c r="I325" s="39" t="s">
        <v>34</v>
      </c>
      <c r="J325" s="39" t="s">
        <v>42</v>
      </c>
      <c r="K325" s="39" t="n">
        <v>3</v>
      </c>
    </row>
    <row r="326" customFormat="false" ht="15" hidden="false" customHeight="false" outlineLevel="0" collapsed="false">
      <c r="A326" s="39" t="s">
        <v>436</v>
      </c>
      <c r="B326" s="40" t="n">
        <v>46230</v>
      </c>
      <c r="C326" s="39" t="s">
        <v>48</v>
      </c>
      <c r="D326" s="39" t="s">
        <v>35</v>
      </c>
      <c r="E326" s="39" t="s">
        <v>95</v>
      </c>
      <c r="F326" s="39" t="n">
        <v>1</v>
      </c>
      <c r="G326" s="41" t="n">
        <v>388</v>
      </c>
      <c r="H326" s="42" t="n">
        <f aca="false">F326*G326</f>
        <v>388</v>
      </c>
      <c r="I326" s="39" t="s">
        <v>36</v>
      </c>
      <c r="J326" s="39" t="s">
        <v>47</v>
      </c>
      <c r="K326" s="39"/>
    </row>
    <row r="327" customFormat="false" ht="15" hidden="false" customHeight="false" outlineLevel="0" collapsed="false">
      <c r="A327" s="39" t="s">
        <v>437</v>
      </c>
      <c r="B327" s="40" t="n">
        <v>46230</v>
      </c>
      <c r="C327" s="39" t="s">
        <v>51</v>
      </c>
      <c r="D327" s="39" t="s">
        <v>33</v>
      </c>
      <c r="E327" s="39" t="s">
        <v>117</v>
      </c>
      <c r="F327" s="39" t="n">
        <v>1</v>
      </c>
      <c r="G327" s="41" t="n">
        <v>488</v>
      </c>
      <c r="H327" s="42" t="n">
        <f aca="false">F327*G327</f>
        <v>488</v>
      </c>
      <c r="I327" s="39" t="s">
        <v>34</v>
      </c>
      <c r="J327" s="39" t="s">
        <v>42</v>
      </c>
      <c r="K327" s="39" t="n">
        <v>6</v>
      </c>
    </row>
    <row r="328" customFormat="false" ht="15" hidden="false" customHeight="false" outlineLevel="0" collapsed="false">
      <c r="A328" s="39" t="s">
        <v>438</v>
      </c>
      <c r="B328" s="40" t="n">
        <v>46231</v>
      </c>
      <c r="C328" s="39" t="s">
        <v>109</v>
      </c>
      <c r="D328" s="39" t="s">
        <v>38</v>
      </c>
      <c r="E328" s="39" t="s">
        <v>110</v>
      </c>
      <c r="F328" s="39" t="n">
        <v>2</v>
      </c>
      <c r="G328" s="41" t="n">
        <v>548</v>
      </c>
      <c r="H328" s="42" t="n">
        <f aca="false">F328*G328</f>
        <v>1096</v>
      </c>
      <c r="I328" s="39" t="s">
        <v>34</v>
      </c>
      <c r="J328" s="39" t="s">
        <v>42</v>
      </c>
      <c r="K328" s="39" t="n">
        <v>6</v>
      </c>
    </row>
    <row r="329" customFormat="false" ht="15" hidden="false" customHeight="false" outlineLevel="0" collapsed="false">
      <c r="A329" s="39" t="s">
        <v>439</v>
      </c>
      <c r="B329" s="40" t="n">
        <v>46231</v>
      </c>
      <c r="C329" s="39" t="s">
        <v>101</v>
      </c>
      <c r="D329" s="39" t="s">
        <v>38</v>
      </c>
      <c r="E329" s="39" t="s">
        <v>107</v>
      </c>
      <c r="F329" s="39" t="n">
        <v>1</v>
      </c>
      <c r="G329" s="41" t="n">
        <v>458</v>
      </c>
      <c r="H329" s="42" t="n">
        <f aca="false">F329*G329</f>
        <v>458</v>
      </c>
      <c r="I329" s="39" t="s">
        <v>34</v>
      </c>
      <c r="J329" s="39" t="s">
        <v>42</v>
      </c>
      <c r="K329" s="39" t="n">
        <v>3</v>
      </c>
    </row>
    <row r="330" customFormat="false" ht="15" hidden="false" customHeight="false" outlineLevel="0" collapsed="false">
      <c r="A330" s="39" t="s">
        <v>440</v>
      </c>
      <c r="B330" s="40" t="n">
        <v>46231</v>
      </c>
      <c r="C330" s="39" t="s">
        <v>48</v>
      </c>
      <c r="D330" s="39" t="s">
        <v>35</v>
      </c>
      <c r="E330" s="39" t="s">
        <v>95</v>
      </c>
      <c r="F330" s="39" t="n">
        <v>2</v>
      </c>
      <c r="G330" s="41" t="n">
        <v>378</v>
      </c>
      <c r="H330" s="42" t="n">
        <f aca="false">F330*G330</f>
        <v>756</v>
      </c>
      <c r="I330" s="39" t="s">
        <v>34</v>
      </c>
      <c r="J330" s="39" t="s">
        <v>42</v>
      </c>
      <c r="K330" s="39" t="n">
        <v>4</v>
      </c>
    </row>
    <row r="331" customFormat="false" ht="15" hidden="false" customHeight="false" outlineLevel="0" collapsed="false">
      <c r="A331" s="39" t="s">
        <v>441</v>
      </c>
      <c r="B331" s="40" t="n">
        <v>46231</v>
      </c>
      <c r="C331" s="39" t="s">
        <v>109</v>
      </c>
      <c r="D331" s="39" t="s">
        <v>39</v>
      </c>
      <c r="E331" s="39" t="s">
        <v>99</v>
      </c>
      <c r="F331" s="39" t="n">
        <v>3</v>
      </c>
      <c r="G331" s="41" t="n">
        <v>1108</v>
      </c>
      <c r="H331" s="42" t="n">
        <f aca="false">F331*G331</f>
        <v>3324</v>
      </c>
      <c r="I331" s="39" t="s">
        <v>34</v>
      </c>
      <c r="J331" s="39" t="s">
        <v>42</v>
      </c>
      <c r="K331" s="39" t="n">
        <v>3</v>
      </c>
    </row>
    <row r="332" customFormat="false" ht="15" hidden="false" customHeight="false" outlineLevel="0" collapsed="false">
      <c r="A332" s="39" t="s">
        <v>442</v>
      </c>
      <c r="B332" s="40" t="n">
        <v>46231</v>
      </c>
      <c r="C332" s="39" t="s">
        <v>48</v>
      </c>
      <c r="D332" s="39" t="s">
        <v>33</v>
      </c>
      <c r="E332" s="39" t="s">
        <v>117</v>
      </c>
      <c r="F332" s="39" t="n">
        <v>1</v>
      </c>
      <c r="G332" s="41" t="n">
        <v>508</v>
      </c>
      <c r="H332" s="42" t="n">
        <f aca="false">F332*G332</f>
        <v>508</v>
      </c>
      <c r="I332" s="39" t="s">
        <v>36</v>
      </c>
      <c r="J332" s="39" t="s">
        <v>47</v>
      </c>
      <c r="K332" s="39"/>
    </row>
    <row r="333" customFormat="false" ht="15" hidden="false" customHeight="false" outlineLevel="0" collapsed="false">
      <c r="A333" s="39" t="s">
        <v>443</v>
      </c>
      <c r="B333" s="40" t="n">
        <v>46231</v>
      </c>
      <c r="C333" s="39" t="s">
        <v>109</v>
      </c>
      <c r="D333" s="39" t="s">
        <v>39</v>
      </c>
      <c r="E333" s="39" t="s">
        <v>129</v>
      </c>
      <c r="F333" s="39" t="n">
        <v>2</v>
      </c>
      <c r="G333" s="41" t="n">
        <v>608</v>
      </c>
      <c r="H333" s="42" t="n">
        <f aca="false">F333*G333</f>
        <v>1216</v>
      </c>
      <c r="I333" s="39" t="s">
        <v>34</v>
      </c>
      <c r="J333" s="39" t="s">
        <v>42</v>
      </c>
      <c r="K333" s="39" t="n">
        <v>4</v>
      </c>
    </row>
    <row r="334" customFormat="false" ht="15" hidden="false" customHeight="false" outlineLevel="0" collapsed="false">
      <c r="A334" s="39" t="s">
        <v>444</v>
      </c>
      <c r="B334" s="40" t="n">
        <v>46231</v>
      </c>
      <c r="C334" s="39" t="s">
        <v>101</v>
      </c>
      <c r="D334" s="39" t="s">
        <v>33</v>
      </c>
      <c r="E334" s="39" t="s">
        <v>136</v>
      </c>
      <c r="F334" s="39" t="n">
        <v>1</v>
      </c>
      <c r="G334" s="41" t="n">
        <v>318</v>
      </c>
      <c r="H334" s="42" t="n">
        <f aca="false">F334*G334</f>
        <v>318</v>
      </c>
      <c r="I334" s="39" t="s">
        <v>34</v>
      </c>
      <c r="J334" s="39" t="s">
        <v>42</v>
      </c>
      <c r="K334" s="39" t="n">
        <v>3</v>
      </c>
    </row>
    <row r="335" customFormat="false" ht="15" hidden="false" customHeight="false" outlineLevel="0" collapsed="false">
      <c r="A335" s="39" t="s">
        <v>445</v>
      </c>
      <c r="B335" s="40" t="n">
        <v>46231</v>
      </c>
      <c r="C335" s="39" t="s">
        <v>109</v>
      </c>
      <c r="D335" s="39" t="s">
        <v>35</v>
      </c>
      <c r="E335" s="39" t="s">
        <v>159</v>
      </c>
      <c r="F335" s="39" t="n">
        <v>1</v>
      </c>
      <c r="G335" s="41" t="n">
        <v>598</v>
      </c>
      <c r="H335" s="42" t="n">
        <f aca="false">F335*G335</f>
        <v>598</v>
      </c>
      <c r="I335" s="39" t="s">
        <v>34</v>
      </c>
      <c r="J335" s="39" t="s">
        <v>45</v>
      </c>
      <c r="K335" s="39"/>
    </row>
    <row r="336" customFormat="false" ht="15" hidden="false" customHeight="false" outlineLevel="0" collapsed="false">
      <c r="A336" s="39" t="s">
        <v>446</v>
      </c>
      <c r="B336" s="40" t="n">
        <v>46231</v>
      </c>
      <c r="C336" s="39" t="s">
        <v>52</v>
      </c>
      <c r="D336" s="39" t="s">
        <v>35</v>
      </c>
      <c r="E336" s="39" t="s">
        <v>159</v>
      </c>
      <c r="F336" s="39" t="n">
        <v>3</v>
      </c>
      <c r="G336" s="41" t="n">
        <v>398</v>
      </c>
      <c r="H336" s="42" t="n">
        <f aca="false">F336*G336</f>
        <v>1194</v>
      </c>
      <c r="I336" s="39" t="s">
        <v>34</v>
      </c>
      <c r="J336" s="39" t="s">
        <v>42</v>
      </c>
      <c r="K336" s="39" t="n">
        <v>2</v>
      </c>
    </row>
    <row r="337" customFormat="false" ht="15" hidden="false" customHeight="false" outlineLevel="0" collapsed="false">
      <c r="A337" s="39" t="s">
        <v>447</v>
      </c>
      <c r="B337" s="40" t="n">
        <v>46231</v>
      </c>
      <c r="C337" s="39" t="s">
        <v>49</v>
      </c>
      <c r="D337" s="39" t="s">
        <v>38</v>
      </c>
      <c r="E337" s="39" t="s">
        <v>110</v>
      </c>
      <c r="F337" s="39" t="n">
        <v>1</v>
      </c>
      <c r="G337" s="41" t="n">
        <v>678</v>
      </c>
      <c r="H337" s="42" t="n">
        <f aca="false">F337*G337</f>
        <v>678</v>
      </c>
      <c r="I337" s="39" t="s">
        <v>34</v>
      </c>
      <c r="J337" s="39" t="s">
        <v>42</v>
      </c>
      <c r="K337" s="39" t="n">
        <v>3</v>
      </c>
    </row>
    <row r="338" customFormat="false" ht="15" hidden="false" customHeight="false" outlineLevel="0" collapsed="false">
      <c r="A338" s="39" t="s">
        <v>448</v>
      </c>
      <c r="B338" s="40" t="n">
        <v>46232</v>
      </c>
      <c r="C338" s="39" t="s">
        <v>52</v>
      </c>
      <c r="D338" s="39" t="s">
        <v>35</v>
      </c>
      <c r="E338" s="39" t="s">
        <v>95</v>
      </c>
      <c r="F338" s="39" t="n">
        <v>1</v>
      </c>
      <c r="G338" s="41" t="n">
        <v>698</v>
      </c>
      <c r="H338" s="42" t="n">
        <f aca="false">F338*G338</f>
        <v>698</v>
      </c>
      <c r="I338" s="39" t="s">
        <v>36</v>
      </c>
      <c r="J338" s="39" t="s">
        <v>42</v>
      </c>
      <c r="K338" s="39" t="n">
        <v>3</v>
      </c>
    </row>
    <row r="339" customFormat="false" ht="15" hidden="false" customHeight="false" outlineLevel="0" collapsed="false">
      <c r="A339" s="39" t="s">
        <v>449</v>
      </c>
      <c r="B339" s="40" t="n">
        <v>46232</v>
      </c>
      <c r="C339" s="39" t="s">
        <v>109</v>
      </c>
      <c r="D339" s="39" t="s">
        <v>33</v>
      </c>
      <c r="E339" s="39" t="s">
        <v>114</v>
      </c>
      <c r="F339" s="39" t="n">
        <v>1</v>
      </c>
      <c r="G339" s="41" t="n">
        <v>428</v>
      </c>
      <c r="H339" s="42" t="n">
        <f aca="false">F339*G339</f>
        <v>428</v>
      </c>
      <c r="I339" s="39" t="s">
        <v>36</v>
      </c>
      <c r="J339" s="39" t="s">
        <v>42</v>
      </c>
      <c r="K339" s="39" t="n">
        <v>7</v>
      </c>
    </row>
    <row r="340" customFormat="false" ht="15" hidden="false" customHeight="false" outlineLevel="0" collapsed="false">
      <c r="A340" s="39" t="s">
        <v>450</v>
      </c>
      <c r="B340" s="40" t="n">
        <v>46232</v>
      </c>
      <c r="C340" s="39" t="s">
        <v>52</v>
      </c>
      <c r="D340" s="39" t="s">
        <v>35</v>
      </c>
      <c r="E340" s="39" t="s">
        <v>125</v>
      </c>
      <c r="F340" s="39" t="n">
        <v>1</v>
      </c>
      <c r="G340" s="41" t="n">
        <v>528</v>
      </c>
      <c r="H340" s="42" t="n">
        <f aca="false">F340*G340</f>
        <v>528</v>
      </c>
      <c r="I340" s="39" t="s">
        <v>34</v>
      </c>
      <c r="J340" s="39" t="s">
        <v>42</v>
      </c>
      <c r="K340" s="39" t="n">
        <v>2</v>
      </c>
    </row>
    <row r="341" customFormat="false" ht="15" hidden="false" customHeight="false" outlineLevel="0" collapsed="false">
      <c r="A341" s="39" t="s">
        <v>451</v>
      </c>
      <c r="B341" s="40" t="n">
        <v>46232</v>
      </c>
      <c r="C341" s="39" t="s">
        <v>101</v>
      </c>
      <c r="D341" s="39" t="s">
        <v>38</v>
      </c>
      <c r="E341" s="39" t="s">
        <v>107</v>
      </c>
      <c r="F341" s="39" t="n">
        <v>1</v>
      </c>
      <c r="G341" s="41" t="n">
        <v>668</v>
      </c>
      <c r="H341" s="42" t="n">
        <f aca="false">F341*G341</f>
        <v>668</v>
      </c>
      <c r="I341" s="39" t="s">
        <v>34</v>
      </c>
      <c r="J341" s="39" t="s">
        <v>42</v>
      </c>
      <c r="K341" s="39" t="n">
        <v>3</v>
      </c>
    </row>
    <row r="342" customFormat="false" ht="15" hidden="false" customHeight="false" outlineLevel="0" collapsed="false">
      <c r="A342" s="39" t="s">
        <v>452</v>
      </c>
      <c r="B342" s="40" t="n">
        <v>46232</v>
      </c>
      <c r="C342" s="39" t="s">
        <v>101</v>
      </c>
      <c r="D342" s="39" t="s">
        <v>38</v>
      </c>
      <c r="E342" s="39" t="s">
        <v>107</v>
      </c>
      <c r="F342" s="39" t="n">
        <v>1</v>
      </c>
      <c r="G342" s="41" t="n">
        <v>818</v>
      </c>
      <c r="H342" s="42" t="n">
        <f aca="false">F342*G342</f>
        <v>818</v>
      </c>
      <c r="I342" s="39" t="s">
        <v>34</v>
      </c>
      <c r="J342" s="39" t="s">
        <v>42</v>
      </c>
      <c r="K342" s="39" t="n">
        <v>5</v>
      </c>
    </row>
    <row r="343" customFormat="false" ht="15" hidden="false" customHeight="false" outlineLevel="0" collapsed="false">
      <c r="A343" s="39" t="s">
        <v>453</v>
      </c>
      <c r="B343" s="40" t="n">
        <v>46232</v>
      </c>
      <c r="C343" s="39" t="s">
        <v>101</v>
      </c>
      <c r="D343" s="39" t="s">
        <v>39</v>
      </c>
      <c r="E343" s="39" t="s">
        <v>105</v>
      </c>
      <c r="F343" s="39" t="n">
        <v>1</v>
      </c>
      <c r="G343" s="41" t="n">
        <v>758</v>
      </c>
      <c r="H343" s="42" t="n">
        <f aca="false">F343*G343</f>
        <v>758</v>
      </c>
      <c r="I343" s="39" t="s">
        <v>36</v>
      </c>
      <c r="J343" s="39" t="s">
        <v>42</v>
      </c>
      <c r="K343" s="39" t="n">
        <v>4</v>
      </c>
    </row>
    <row r="344" customFormat="false" ht="15" hidden="false" customHeight="false" outlineLevel="0" collapsed="false">
      <c r="A344" s="39" t="s">
        <v>454</v>
      </c>
      <c r="B344" s="40" t="n">
        <v>46232</v>
      </c>
      <c r="C344" s="39" t="s">
        <v>51</v>
      </c>
      <c r="D344" s="39" t="s">
        <v>35</v>
      </c>
      <c r="E344" s="39" t="s">
        <v>95</v>
      </c>
      <c r="F344" s="39" t="n">
        <v>1</v>
      </c>
      <c r="G344" s="41" t="n">
        <v>418</v>
      </c>
      <c r="H344" s="42" t="n">
        <f aca="false">F344*G344</f>
        <v>418</v>
      </c>
      <c r="I344" s="39" t="s">
        <v>36</v>
      </c>
      <c r="J344" s="39" t="s">
        <v>42</v>
      </c>
      <c r="K344" s="39" t="n">
        <v>3</v>
      </c>
    </row>
    <row r="345" customFormat="false" ht="15" hidden="false" customHeight="false" outlineLevel="0" collapsed="false">
      <c r="A345" s="39" t="s">
        <v>455</v>
      </c>
      <c r="B345" s="40" t="n">
        <v>46232</v>
      </c>
      <c r="C345" s="39" t="s">
        <v>53</v>
      </c>
      <c r="D345" s="39" t="s">
        <v>38</v>
      </c>
      <c r="E345" s="39" t="s">
        <v>121</v>
      </c>
      <c r="F345" s="39" t="n">
        <v>1</v>
      </c>
      <c r="G345" s="41" t="n">
        <v>648</v>
      </c>
      <c r="H345" s="42" t="n">
        <f aca="false">F345*G345</f>
        <v>648</v>
      </c>
      <c r="I345" s="39" t="s">
        <v>34</v>
      </c>
      <c r="J345" s="39" t="s">
        <v>42</v>
      </c>
      <c r="K345" s="39" t="n">
        <v>5</v>
      </c>
    </row>
    <row r="346" customFormat="false" ht="15" hidden="false" customHeight="false" outlineLevel="0" collapsed="false">
      <c r="A346" s="39" t="s">
        <v>456</v>
      </c>
      <c r="B346" s="40" t="n">
        <v>46232</v>
      </c>
      <c r="C346" s="39" t="s">
        <v>109</v>
      </c>
      <c r="D346" s="39" t="s">
        <v>33</v>
      </c>
      <c r="E346" s="39" t="s">
        <v>114</v>
      </c>
      <c r="F346" s="39" t="n">
        <v>1</v>
      </c>
      <c r="G346" s="41" t="n">
        <v>718</v>
      </c>
      <c r="H346" s="42" t="n">
        <f aca="false">F346*G346</f>
        <v>718</v>
      </c>
      <c r="I346" s="39" t="s">
        <v>34</v>
      </c>
      <c r="J346" s="39" t="s">
        <v>42</v>
      </c>
      <c r="K346" s="39" t="n">
        <v>3</v>
      </c>
    </row>
    <row r="347" customFormat="false" ht="15" hidden="false" customHeight="false" outlineLevel="0" collapsed="false">
      <c r="A347" s="39" t="s">
        <v>457</v>
      </c>
      <c r="B347" s="40" t="n">
        <v>46233</v>
      </c>
      <c r="C347" s="39" t="s">
        <v>101</v>
      </c>
      <c r="D347" s="39" t="s">
        <v>39</v>
      </c>
      <c r="E347" s="39" t="s">
        <v>129</v>
      </c>
      <c r="F347" s="39" t="n">
        <v>2</v>
      </c>
      <c r="G347" s="41" t="n">
        <v>1178</v>
      </c>
      <c r="H347" s="42" t="n">
        <f aca="false">F347*G347</f>
        <v>2356</v>
      </c>
      <c r="I347" s="39" t="s">
        <v>36</v>
      </c>
      <c r="J347" s="39" t="s">
        <v>47</v>
      </c>
      <c r="K347" s="39"/>
    </row>
    <row r="348" customFormat="false" ht="15" hidden="false" customHeight="false" outlineLevel="0" collapsed="false">
      <c r="A348" s="39" t="s">
        <v>458</v>
      </c>
      <c r="B348" s="40" t="n">
        <v>46233</v>
      </c>
      <c r="C348" s="39" t="s">
        <v>49</v>
      </c>
      <c r="D348" s="39" t="s">
        <v>35</v>
      </c>
      <c r="E348" s="39" t="s">
        <v>159</v>
      </c>
      <c r="F348" s="39" t="n">
        <v>1</v>
      </c>
      <c r="G348" s="41" t="n">
        <v>628</v>
      </c>
      <c r="H348" s="42" t="n">
        <f aca="false">F348*G348</f>
        <v>628</v>
      </c>
      <c r="I348" s="39" t="s">
        <v>36</v>
      </c>
      <c r="J348" s="39" t="s">
        <v>42</v>
      </c>
      <c r="K348" s="39" t="n">
        <v>5</v>
      </c>
    </row>
    <row r="349" customFormat="false" ht="15" hidden="false" customHeight="false" outlineLevel="0" collapsed="false">
      <c r="A349" s="39" t="s">
        <v>459</v>
      </c>
      <c r="B349" s="40" t="n">
        <v>46233</v>
      </c>
      <c r="C349" s="39" t="s">
        <v>51</v>
      </c>
      <c r="D349" s="39" t="s">
        <v>33</v>
      </c>
      <c r="E349" s="39" t="s">
        <v>102</v>
      </c>
      <c r="F349" s="39" t="n">
        <v>1</v>
      </c>
      <c r="G349" s="41" t="n">
        <v>508</v>
      </c>
      <c r="H349" s="42" t="n">
        <f aca="false">F349*G349</f>
        <v>508</v>
      </c>
      <c r="I349" s="39" t="s">
        <v>34</v>
      </c>
      <c r="J349" s="39" t="s">
        <v>43</v>
      </c>
      <c r="K349" s="39" t="n">
        <v>2</v>
      </c>
    </row>
    <row r="350" customFormat="false" ht="15" hidden="false" customHeight="false" outlineLevel="0" collapsed="false">
      <c r="A350" s="39" t="s">
        <v>460</v>
      </c>
      <c r="B350" s="40" t="n">
        <v>46233</v>
      </c>
      <c r="C350" s="39" t="s">
        <v>52</v>
      </c>
      <c r="D350" s="39" t="s">
        <v>37</v>
      </c>
      <c r="E350" s="39" t="s">
        <v>141</v>
      </c>
      <c r="F350" s="39" t="n">
        <v>2</v>
      </c>
      <c r="G350" s="41" t="n">
        <v>328</v>
      </c>
      <c r="H350" s="42" t="n">
        <f aca="false">F350*G350</f>
        <v>656</v>
      </c>
      <c r="I350" s="39" t="s">
        <v>36</v>
      </c>
      <c r="J350" s="39" t="s">
        <v>42</v>
      </c>
      <c r="K350" s="39" t="n">
        <v>3</v>
      </c>
    </row>
    <row r="351" customFormat="false" ht="15" hidden="false" customHeight="false" outlineLevel="0" collapsed="false">
      <c r="A351" s="39" t="s">
        <v>461</v>
      </c>
      <c r="B351" s="40" t="n">
        <v>46233</v>
      </c>
      <c r="C351" s="39" t="s">
        <v>48</v>
      </c>
      <c r="D351" s="39" t="s">
        <v>35</v>
      </c>
      <c r="E351" s="39" t="s">
        <v>159</v>
      </c>
      <c r="F351" s="39" t="n">
        <v>2</v>
      </c>
      <c r="G351" s="41" t="n">
        <v>438</v>
      </c>
      <c r="H351" s="42" t="n">
        <f aca="false">F351*G351</f>
        <v>876</v>
      </c>
      <c r="I351" s="39" t="s">
        <v>34</v>
      </c>
      <c r="J351" s="39" t="s">
        <v>42</v>
      </c>
      <c r="K351" s="39" t="n">
        <v>5</v>
      </c>
    </row>
    <row r="352" customFormat="false" ht="15" hidden="false" customHeight="false" outlineLevel="0" collapsed="false">
      <c r="A352" s="39" t="s">
        <v>462</v>
      </c>
      <c r="B352" s="40" t="n">
        <v>46233</v>
      </c>
      <c r="C352" s="39" t="s">
        <v>101</v>
      </c>
      <c r="D352" s="39" t="s">
        <v>33</v>
      </c>
      <c r="E352" s="39" t="s">
        <v>114</v>
      </c>
      <c r="F352" s="39" t="n">
        <v>1</v>
      </c>
      <c r="G352" s="41" t="n">
        <v>828</v>
      </c>
      <c r="H352" s="42" t="n">
        <f aca="false">F352*G352</f>
        <v>828</v>
      </c>
      <c r="I352" s="39" t="s">
        <v>34</v>
      </c>
      <c r="J352" s="39" t="s">
        <v>43</v>
      </c>
      <c r="K352" s="39" t="n">
        <v>3</v>
      </c>
    </row>
    <row r="353" customFormat="false" ht="15" hidden="false" customHeight="false" outlineLevel="0" collapsed="false">
      <c r="A353" s="39" t="s">
        <v>463</v>
      </c>
      <c r="B353" s="40" t="n">
        <v>46233</v>
      </c>
      <c r="C353" s="39" t="s">
        <v>48</v>
      </c>
      <c r="D353" s="39" t="s">
        <v>35</v>
      </c>
      <c r="E353" s="39" t="s">
        <v>95</v>
      </c>
      <c r="F353" s="39" t="n">
        <v>3</v>
      </c>
      <c r="G353" s="41" t="n">
        <v>698</v>
      </c>
      <c r="H353" s="42" t="n">
        <f aca="false">F353*G353</f>
        <v>2094</v>
      </c>
      <c r="I353" s="39" t="s">
        <v>34</v>
      </c>
      <c r="J353" s="39" t="s">
        <v>42</v>
      </c>
      <c r="K353" s="39" t="n">
        <v>3</v>
      </c>
    </row>
    <row r="354" customFormat="false" ht="15" hidden="false" customHeight="false" outlineLevel="0" collapsed="false">
      <c r="A354" s="39" t="s">
        <v>464</v>
      </c>
      <c r="B354" s="40" t="n">
        <v>46233</v>
      </c>
      <c r="C354" s="39" t="s">
        <v>48</v>
      </c>
      <c r="D354" s="39" t="s">
        <v>37</v>
      </c>
      <c r="E354" s="39" t="s">
        <v>97</v>
      </c>
      <c r="F354" s="39" t="n">
        <v>1</v>
      </c>
      <c r="G354" s="41" t="n">
        <v>588</v>
      </c>
      <c r="H354" s="42" t="n">
        <f aca="false">F354*G354</f>
        <v>588</v>
      </c>
      <c r="I354" s="39" t="s">
        <v>36</v>
      </c>
      <c r="J354" s="39" t="s">
        <v>42</v>
      </c>
      <c r="K354" s="39" t="n">
        <v>4</v>
      </c>
    </row>
    <row r="355" customFormat="false" ht="15" hidden="false" customHeight="false" outlineLevel="0" collapsed="false">
      <c r="A355" s="39" t="s">
        <v>465</v>
      </c>
      <c r="B355" s="40" t="n">
        <v>46233</v>
      </c>
      <c r="C355" s="39" t="s">
        <v>51</v>
      </c>
      <c r="D355" s="39" t="s">
        <v>35</v>
      </c>
      <c r="E355" s="39" t="s">
        <v>159</v>
      </c>
      <c r="F355" s="39" t="n">
        <v>1</v>
      </c>
      <c r="G355" s="41" t="n">
        <v>358</v>
      </c>
      <c r="H355" s="42" t="n">
        <f aca="false">F355*G355</f>
        <v>358</v>
      </c>
      <c r="I355" s="39" t="s">
        <v>34</v>
      </c>
      <c r="J355" s="39" t="s">
        <v>42</v>
      </c>
      <c r="K355" s="39" t="n">
        <v>2</v>
      </c>
    </row>
    <row r="356" customFormat="false" ht="15" hidden="false" customHeight="false" outlineLevel="0" collapsed="false">
      <c r="A356" s="39" t="s">
        <v>466</v>
      </c>
      <c r="B356" s="40" t="n">
        <v>46233</v>
      </c>
      <c r="C356" s="39" t="s">
        <v>49</v>
      </c>
      <c r="D356" s="39" t="s">
        <v>33</v>
      </c>
      <c r="E356" s="39" t="s">
        <v>102</v>
      </c>
      <c r="F356" s="39" t="n">
        <v>2</v>
      </c>
      <c r="G356" s="41" t="n">
        <v>708</v>
      </c>
      <c r="H356" s="42" t="n">
        <f aca="false">F356*G356</f>
        <v>1416</v>
      </c>
      <c r="I356" s="39" t="s">
        <v>34</v>
      </c>
      <c r="J356" s="39" t="s">
        <v>42</v>
      </c>
      <c r="K356" s="39" t="n">
        <v>4</v>
      </c>
    </row>
    <row r="357" customFormat="false" ht="15" hidden="false" customHeight="false" outlineLevel="0" collapsed="false">
      <c r="A357" s="39" t="s">
        <v>467</v>
      </c>
      <c r="B357" s="40" t="n">
        <v>46234</v>
      </c>
      <c r="C357" s="39" t="s">
        <v>52</v>
      </c>
      <c r="D357" s="39" t="s">
        <v>33</v>
      </c>
      <c r="E357" s="39" t="s">
        <v>114</v>
      </c>
      <c r="F357" s="39" t="n">
        <v>2</v>
      </c>
      <c r="G357" s="41" t="n">
        <v>578</v>
      </c>
      <c r="H357" s="42" t="n">
        <f aca="false">F357*G357</f>
        <v>1156</v>
      </c>
      <c r="I357" s="39" t="s">
        <v>34</v>
      </c>
      <c r="J357" s="39" t="s">
        <v>42</v>
      </c>
      <c r="K357" s="39" t="n">
        <v>4</v>
      </c>
    </row>
    <row r="358" customFormat="false" ht="15" hidden="false" customHeight="false" outlineLevel="0" collapsed="false">
      <c r="A358" s="39" t="s">
        <v>468</v>
      </c>
      <c r="B358" s="40" t="n">
        <v>46234</v>
      </c>
      <c r="C358" s="39" t="s">
        <v>101</v>
      </c>
      <c r="D358" s="39" t="s">
        <v>35</v>
      </c>
      <c r="E358" s="39" t="s">
        <v>159</v>
      </c>
      <c r="F358" s="39" t="n">
        <v>1</v>
      </c>
      <c r="G358" s="41" t="n">
        <v>378</v>
      </c>
      <c r="H358" s="42" t="n">
        <f aca="false">F358*G358</f>
        <v>378</v>
      </c>
      <c r="I358" s="39" t="s">
        <v>34</v>
      </c>
      <c r="J358" s="39" t="s">
        <v>42</v>
      </c>
      <c r="K358" s="39" t="n">
        <v>6</v>
      </c>
    </row>
    <row r="359" customFormat="false" ht="15" hidden="false" customHeight="false" outlineLevel="0" collapsed="false">
      <c r="A359" s="39" t="s">
        <v>469</v>
      </c>
      <c r="B359" s="40" t="n">
        <v>46234</v>
      </c>
      <c r="C359" s="39" t="s">
        <v>49</v>
      </c>
      <c r="D359" s="39" t="s">
        <v>35</v>
      </c>
      <c r="E359" s="39" t="s">
        <v>159</v>
      </c>
      <c r="F359" s="39" t="n">
        <v>1</v>
      </c>
      <c r="G359" s="41" t="n">
        <v>658</v>
      </c>
      <c r="H359" s="42" t="n">
        <f aca="false">F359*G359</f>
        <v>658</v>
      </c>
      <c r="I359" s="39" t="s">
        <v>34</v>
      </c>
      <c r="J359" s="39" t="s">
        <v>42</v>
      </c>
      <c r="K359" s="39" t="n">
        <v>5</v>
      </c>
    </row>
    <row r="360" customFormat="false" ht="15" hidden="false" customHeight="false" outlineLevel="0" collapsed="false">
      <c r="A360" s="39" t="s">
        <v>470</v>
      </c>
      <c r="B360" s="40" t="n">
        <v>46234</v>
      </c>
      <c r="C360" s="39" t="s">
        <v>49</v>
      </c>
      <c r="D360" s="39" t="s">
        <v>35</v>
      </c>
      <c r="E360" s="39" t="s">
        <v>159</v>
      </c>
      <c r="F360" s="39" t="n">
        <v>2</v>
      </c>
      <c r="G360" s="41" t="n">
        <v>798</v>
      </c>
      <c r="H360" s="42" t="n">
        <f aca="false">F360*G360</f>
        <v>1596</v>
      </c>
      <c r="I360" s="39" t="s">
        <v>34</v>
      </c>
      <c r="J360" s="39" t="s">
        <v>43</v>
      </c>
      <c r="K360" s="39" t="n">
        <v>2</v>
      </c>
    </row>
    <row r="361" customFormat="false" ht="15" hidden="false" customHeight="false" outlineLevel="0" collapsed="false">
      <c r="A361" s="39" t="s">
        <v>471</v>
      </c>
      <c r="B361" s="40" t="n">
        <v>46234</v>
      </c>
      <c r="C361" s="39" t="s">
        <v>52</v>
      </c>
      <c r="D361" s="39" t="s">
        <v>33</v>
      </c>
      <c r="E361" s="39" t="s">
        <v>114</v>
      </c>
      <c r="F361" s="39" t="n">
        <v>2</v>
      </c>
      <c r="G361" s="41" t="n">
        <v>498</v>
      </c>
      <c r="H361" s="42" t="n">
        <f aca="false">F361*G361</f>
        <v>996</v>
      </c>
      <c r="I361" s="39" t="s">
        <v>34</v>
      </c>
      <c r="J361" s="39" t="s">
        <v>43</v>
      </c>
      <c r="K361" s="39" t="n">
        <v>5</v>
      </c>
    </row>
    <row r="362" customFormat="false" ht="15" hidden="false" customHeight="false" outlineLevel="0" collapsed="false">
      <c r="A362" s="39" t="s">
        <v>472</v>
      </c>
      <c r="B362" s="40" t="n">
        <v>46234</v>
      </c>
      <c r="C362" s="39" t="s">
        <v>48</v>
      </c>
      <c r="D362" s="39" t="s">
        <v>39</v>
      </c>
      <c r="E362" s="39" t="s">
        <v>129</v>
      </c>
      <c r="F362" s="39" t="n">
        <v>1</v>
      </c>
      <c r="G362" s="41" t="n">
        <v>958</v>
      </c>
      <c r="H362" s="42" t="n">
        <f aca="false">F362*G362</f>
        <v>958</v>
      </c>
      <c r="I362" s="39" t="s">
        <v>34</v>
      </c>
      <c r="J362" s="39" t="s">
        <v>42</v>
      </c>
      <c r="K362" s="39" t="n">
        <v>4</v>
      </c>
    </row>
    <row r="363" customFormat="false" ht="15" hidden="false" customHeight="false" outlineLevel="0" collapsed="false">
      <c r="A363" s="39" t="s">
        <v>473</v>
      </c>
      <c r="B363" s="40" t="n">
        <v>46234</v>
      </c>
      <c r="C363" s="39" t="s">
        <v>52</v>
      </c>
      <c r="D363" s="39" t="s">
        <v>33</v>
      </c>
      <c r="E363" s="39" t="s">
        <v>114</v>
      </c>
      <c r="F363" s="39" t="n">
        <v>1</v>
      </c>
      <c r="G363" s="41" t="n">
        <v>398</v>
      </c>
      <c r="H363" s="42" t="n">
        <f aca="false">F363*G363</f>
        <v>398</v>
      </c>
      <c r="I363" s="39" t="s">
        <v>36</v>
      </c>
      <c r="J363" s="39" t="s">
        <v>45</v>
      </c>
      <c r="K363" s="39"/>
    </row>
    <row r="364" customFormat="false" ht="15" hidden="false" customHeight="false" outlineLevel="0" collapsed="false">
      <c r="A364" s="39" t="s">
        <v>474</v>
      </c>
      <c r="B364" s="40" t="n">
        <v>46234</v>
      </c>
      <c r="C364" s="39" t="s">
        <v>51</v>
      </c>
      <c r="D364" s="39" t="s">
        <v>35</v>
      </c>
      <c r="E364" s="39" t="s">
        <v>95</v>
      </c>
      <c r="F364" s="39" t="n">
        <v>1</v>
      </c>
      <c r="G364" s="41" t="n">
        <v>628</v>
      </c>
      <c r="H364" s="42" t="n">
        <f aca="false">F364*G364</f>
        <v>628</v>
      </c>
      <c r="I364" s="39" t="s">
        <v>36</v>
      </c>
      <c r="J364" s="39" t="s">
        <v>47</v>
      </c>
      <c r="K364" s="39"/>
    </row>
    <row r="365" customFormat="false" ht="15" hidden="false" customHeight="false" outlineLevel="0" collapsed="false">
      <c r="A365" s="39" t="s">
        <v>475</v>
      </c>
      <c r="B365" s="40" t="n">
        <v>46235</v>
      </c>
      <c r="C365" s="39" t="s">
        <v>50</v>
      </c>
      <c r="D365" s="39" t="s">
        <v>33</v>
      </c>
      <c r="E365" s="39" t="s">
        <v>102</v>
      </c>
      <c r="F365" s="39" t="n">
        <v>1</v>
      </c>
      <c r="G365" s="41" t="n">
        <v>338</v>
      </c>
      <c r="H365" s="42" t="n">
        <f aca="false">F365*G365</f>
        <v>338</v>
      </c>
      <c r="I365" s="39" t="s">
        <v>36</v>
      </c>
      <c r="J365" s="39" t="s">
        <v>42</v>
      </c>
      <c r="K365" s="39" t="n">
        <v>3</v>
      </c>
    </row>
    <row r="366" customFormat="false" ht="15" hidden="false" customHeight="false" outlineLevel="0" collapsed="false">
      <c r="A366" s="39" t="s">
        <v>476</v>
      </c>
      <c r="B366" s="40" t="n">
        <v>46235</v>
      </c>
      <c r="C366" s="39" t="s">
        <v>101</v>
      </c>
      <c r="D366" s="39" t="s">
        <v>35</v>
      </c>
      <c r="E366" s="39" t="s">
        <v>95</v>
      </c>
      <c r="F366" s="39" t="n">
        <v>1</v>
      </c>
      <c r="G366" s="41" t="n">
        <v>358</v>
      </c>
      <c r="H366" s="42" t="n">
        <f aca="false">F366*G366</f>
        <v>358</v>
      </c>
      <c r="I366" s="39" t="s">
        <v>36</v>
      </c>
      <c r="J366" s="39" t="s">
        <v>42</v>
      </c>
      <c r="K366" s="39" t="n">
        <v>3</v>
      </c>
    </row>
    <row r="367" customFormat="false" ht="15" hidden="false" customHeight="false" outlineLevel="0" collapsed="false">
      <c r="A367" s="39" t="s">
        <v>477</v>
      </c>
      <c r="B367" s="40" t="n">
        <v>46235</v>
      </c>
      <c r="C367" s="39" t="s">
        <v>48</v>
      </c>
      <c r="D367" s="39" t="s">
        <v>35</v>
      </c>
      <c r="E367" s="39" t="s">
        <v>95</v>
      </c>
      <c r="F367" s="39" t="n">
        <v>1</v>
      </c>
      <c r="G367" s="41" t="n">
        <v>358</v>
      </c>
      <c r="H367" s="42" t="n">
        <f aca="false">F367*G367</f>
        <v>358</v>
      </c>
      <c r="I367" s="39" t="s">
        <v>36</v>
      </c>
      <c r="J367" s="39" t="s">
        <v>42</v>
      </c>
      <c r="K367" s="39" t="n">
        <v>4</v>
      </c>
    </row>
    <row r="368" customFormat="false" ht="15" hidden="false" customHeight="false" outlineLevel="0" collapsed="false">
      <c r="A368" s="39" t="s">
        <v>478</v>
      </c>
      <c r="B368" s="40" t="n">
        <v>46235</v>
      </c>
      <c r="C368" s="39" t="s">
        <v>51</v>
      </c>
      <c r="D368" s="39" t="s">
        <v>33</v>
      </c>
      <c r="E368" s="39" t="s">
        <v>117</v>
      </c>
      <c r="F368" s="39" t="n">
        <v>1</v>
      </c>
      <c r="G368" s="41" t="n">
        <v>898</v>
      </c>
      <c r="H368" s="42" t="n">
        <f aca="false">F368*G368</f>
        <v>898</v>
      </c>
      <c r="I368" s="39" t="s">
        <v>34</v>
      </c>
      <c r="J368" s="39" t="s">
        <v>42</v>
      </c>
      <c r="K368" s="39" t="n">
        <v>3</v>
      </c>
    </row>
    <row r="369" customFormat="false" ht="15" hidden="false" customHeight="false" outlineLevel="0" collapsed="false">
      <c r="A369" s="39" t="s">
        <v>479</v>
      </c>
      <c r="B369" s="40" t="n">
        <v>46235</v>
      </c>
      <c r="C369" s="39" t="s">
        <v>51</v>
      </c>
      <c r="D369" s="39" t="s">
        <v>33</v>
      </c>
      <c r="E369" s="39" t="s">
        <v>136</v>
      </c>
      <c r="F369" s="39" t="n">
        <v>1</v>
      </c>
      <c r="G369" s="41" t="n">
        <v>898</v>
      </c>
      <c r="H369" s="42" t="n">
        <f aca="false">F369*G369</f>
        <v>898</v>
      </c>
      <c r="I369" s="39" t="s">
        <v>34</v>
      </c>
      <c r="J369" s="39" t="s">
        <v>43</v>
      </c>
      <c r="K369" s="39" t="n">
        <v>4</v>
      </c>
    </row>
    <row r="370" customFormat="false" ht="15" hidden="false" customHeight="false" outlineLevel="0" collapsed="false">
      <c r="A370" s="39" t="s">
        <v>480</v>
      </c>
      <c r="B370" s="40" t="n">
        <v>46235</v>
      </c>
      <c r="C370" s="39" t="s">
        <v>101</v>
      </c>
      <c r="D370" s="39" t="s">
        <v>35</v>
      </c>
      <c r="E370" s="39" t="s">
        <v>95</v>
      </c>
      <c r="F370" s="39" t="n">
        <v>3</v>
      </c>
      <c r="G370" s="41" t="n">
        <v>358</v>
      </c>
      <c r="H370" s="42" t="n">
        <f aca="false">F370*G370</f>
        <v>1074</v>
      </c>
      <c r="I370" s="39" t="s">
        <v>34</v>
      </c>
      <c r="J370" s="39" t="s">
        <v>42</v>
      </c>
      <c r="K370" s="39" t="n">
        <v>7</v>
      </c>
    </row>
    <row r="371" customFormat="false" ht="15" hidden="false" customHeight="false" outlineLevel="0" collapsed="false">
      <c r="A371" s="39" t="s">
        <v>481</v>
      </c>
      <c r="B371" s="40" t="n">
        <v>46235</v>
      </c>
      <c r="C371" s="39" t="s">
        <v>52</v>
      </c>
      <c r="D371" s="39" t="s">
        <v>38</v>
      </c>
      <c r="E371" s="39" t="s">
        <v>121</v>
      </c>
      <c r="F371" s="39" t="n">
        <v>1</v>
      </c>
      <c r="G371" s="41" t="n">
        <v>998</v>
      </c>
      <c r="H371" s="42" t="n">
        <f aca="false">F371*G371</f>
        <v>998</v>
      </c>
      <c r="I371" s="39" t="s">
        <v>34</v>
      </c>
      <c r="J371" s="39" t="s">
        <v>42</v>
      </c>
      <c r="K371" s="39" t="n">
        <v>3</v>
      </c>
    </row>
    <row r="372" customFormat="false" ht="15" hidden="false" customHeight="false" outlineLevel="0" collapsed="false">
      <c r="A372" s="39" t="s">
        <v>482</v>
      </c>
      <c r="B372" s="40" t="n">
        <v>46235</v>
      </c>
      <c r="C372" s="39" t="s">
        <v>48</v>
      </c>
      <c r="D372" s="39" t="s">
        <v>35</v>
      </c>
      <c r="E372" s="39" t="s">
        <v>125</v>
      </c>
      <c r="F372" s="39" t="n">
        <v>1</v>
      </c>
      <c r="G372" s="41" t="n">
        <v>798</v>
      </c>
      <c r="H372" s="42" t="n">
        <f aca="false">F372*G372</f>
        <v>798</v>
      </c>
      <c r="I372" s="39" t="s">
        <v>36</v>
      </c>
      <c r="J372" s="39" t="s">
        <v>42</v>
      </c>
      <c r="K372" s="39" t="n">
        <v>4</v>
      </c>
    </row>
    <row r="373" customFormat="false" ht="15" hidden="false" customHeight="false" outlineLevel="0" collapsed="false">
      <c r="A373" s="39" t="s">
        <v>483</v>
      </c>
      <c r="B373" s="40" t="n">
        <v>46235</v>
      </c>
      <c r="C373" s="39" t="s">
        <v>109</v>
      </c>
      <c r="D373" s="39" t="s">
        <v>35</v>
      </c>
      <c r="E373" s="39" t="s">
        <v>95</v>
      </c>
      <c r="F373" s="39" t="n">
        <v>1</v>
      </c>
      <c r="G373" s="41" t="n">
        <v>658</v>
      </c>
      <c r="H373" s="42" t="n">
        <f aca="false">F373*G373</f>
        <v>658</v>
      </c>
      <c r="I373" s="39" t="s">
        <v>34</v>
      </c>
      <c r="J373" s="39" t="s">
        <v>43</v>
      </c>
      <c r="K373" s="39" t="n">
        <v>3</v>
      </c>
    </row>
    <row r="374" customFormat="false" ht="15" hidden="false" customHeight="false" outlineLevel="0" collapsed="false">
      <c r="A374" s="39" t="s">
        <v>484</v>
      </c>
      <c r="B374" s="40" t="n">
        <v>46235</v>
      </c>
      <c r="C374" s="39" t="s">
        <v>50</v>
      </c>
      <c r="D374" s="39" t="s">
        <v>37</v>
      </c>
      <c r="E374" s="39" t="s">
        <v>97</v>
      </c>
      <c r="F374" s="39" t="n">
        <v>1</v>
      </c>
      <c r="G374" s="41" t="n">
        <v>358</v>
      </c>
      <c r="H374" s="42" t="n">
        <f aca="false">F374*G374</f>
        <v>358</v>
      </c>
      <c r="I374" s="39" t="s">
        <v>36</v>
      </c>
      <c r="J374" s="39" t="s">
        <v>45</v>
      </c>
      <c r="K374" s="39"/>
    </row>
    <row r="375" customFormat="false" ht="15" hidden="false" customHeight="false" outlineLevel="0" collapsed="false">
      <c r="A375" s="39" t="s">
        <v>485</v>
      </c>
      <c r="B375" s="40" t="n">
        <v>46235</v>
      </c>
      <c r="C375" s="39" t="s">
        <v>50</v>
      </c>
      <c r="D375" s="39" t="s">
        <v>33</v>
      </c>
      <c r="E375" s="39" t="s">
        <v>136</v>
      </c>
      <c r="F375" s="39" t="n">
        <v>2</v>
      </c>
      <c r="G375" s="41" t="n">
        <v>468</v>
      </c>
      <c r="H375" s="42" t="n">
        <f aca="false">F375*G375</f>
        <v>936</v>
      </c>
      <c r="I375" s="39" t="s">
        <v>34</v>
      </c>
      <c r="J375" s="39" t="s">
        <v>42</v>
      </c>
      <c r="K375" s="39" t="n">
        <v>5</v>
      </c>
    </row>
    <row r="376" customFormat="false" ht="15" hidden="false" customHeight="false" outlineLevel="0" collapsed="false">
      <c r="A376" s="39" t="s">
        <v>486</v>
      </c>
      <c r="B376" s="40" t="n">
        <v>46235</v>
      </c>
      <c r="C376" s="39" t="s">
        <v>109</v>
      </c>
      <c r="D376" s="39" t="s">
        <v>35</v>
      </c>
      <c r="E376" s="39" t="s">
        <v>125</v>
      </c>
      <c r="F376" s="39" t="n">
        <v>3</v>
      </c>
      <c r="G376" s="41" t="n">
        <v>748</v>
      </c>
      <c r="H376" s="42" t="n">
        <f aca="false">F376*G376</f>
        <v>2244</v>
      </c>
      <c r="I376" s="39" t="s">
        <v>34</v>
      </c>
      <c r="J376" s="39" t="s">
        <v>42</v>
      </c>
      <c r="K376" s="39" t="n">
        <v>4</v>
      </c>
    </row>
    <row r="377" customFormat="false" ht="15" hidden="false" customHeight="false" outlineLevel="0" collapsed="false">
      <c r="A377" s="39" t="s">
        <v>487</v>
      </c>
      <c r="B377" s="40" t="n">
        <v>46236</v>
      </c>
      <c r="C377" s="39" t="s">
        <v>49</v>
      </c>
      <c r="D377" s="39" t="s">
        <v>33</v>
      </c>
      <c r="E377" s="39" t="s">
        <v>117</v>
      </c>
      <c r="F377" s="39" t="n">
        <v>1</v>
      </c>
      <c r="G377" s="41" t="n">
        <v>848</v>
      </c>
      <c r="H377" s="42" t="n">
        <f aca="false">F377*G377</f>
        <v>848</v>
      </c>
      <c r="I377" s="39" t="s">
        <v>36</v>
      </c>
      <c r="J377" s="39" t="s">
        <v>42</v>
      </c>
      <c r="K377" s="39" t="n">
        <v>5</v>
      </c>
    </row>
    <row r="378" customFormat="false" ht="15" hidden="false" customHeight="false" outlineLevel="0" collapsed="false">
      <c r="A378" s="39" t="s">
        <v>488</v>
      </c>
      <c r="B378" s="40" t="n">
        <v>46236</v>
      </c>
      <c r="C378" s="39" t="s">
        <v>48</v>
      </c>
      <c r="D378" s="39" t="s">
        <v>33</v>
      </c>
      <c r="E378" s="39" t="s">
        <v>117</v>
      </c>
      <c r="F378" s="39" t="n">
        <v>2</v>
      </c>
      <c r="G378" s="41" t="n">
        <v>878</v>
      </c>
      <c r="H378" s="42" t="n">
        <f aca="false">F378*G378</f>
        <v>1756</v>
      </c>
      <c r="I378" s="39" t="s">
        <v>36</v>
      </c>
      <c r="J378" s="39" t="s">
        <v>42</v>
      </c>
      <c r="K378" s="39" t="n">
        <v>5</v>
      </c>
    </row>
    <row r="379" customFormat="false" ht="15" hidden="false" customHeight="false" outlineLevel="0" collapsed="false">
      <c r="A379" s="39" t="s">
        <v>489</v>
      </c>
      <c r="B379" s="40" t="n">
        <v>46236</v>
      </c>
      <c r="C379" s="39" t="s">
        <v>109</v>
      </c>
      <c r="D379" s="39" t="s">
        <v>33</v>
      </c>
      <c r="E379" s="39" t="s">
        <v>136</v>
      </c>
      <c r="F379" s="39" t="n">
        <v>1</v>
      </c>
      <c r="G379" s="41" t="n">
        <v>838</v>
      </c>
      <c r="H379" s="42" t="n">
        <f aca="false">F379*G379</f>
        <v>838</v>
      </c>
      <c r="I379" s="39" t="s">
        <v>34</v>
      </c>
      <c r="J379" s="39" t="s">
        <v>42</v>
      </c>
      <c r="K379" s="39" t="n">
        <v>3</v>
      </c>
    </row>
    <row r="380" customFormat="false" ht="15" hidden="false" customHeight="false" outlineLevel="0" collapsed="false">
      <c r="A380" s="39" t="s">
        <v>490</v>
      </c>
      <c r="B380" s="40" t="n">
        <v>46236</v>
      </c>
      <c r="C380" s="39" t="s">
        <v>51</v>
      </c>
      <c r="D380" s="39" t="s">
        <v>33</v>
      </c>
      <c r="E380" s="39" t="s">
        <v>117</v>
      </c>
      <c r="F380" s="39" t="n">
        <v>1</v>
      </c>
      <c r="G380" s="41" t="n">
        <v>468</v>
      </c>
      <c r="H380" s="42" t="n">
        <f aca="false">F380*G380</f>
        <v>468</v>
      </c>
      <c r="I380" s="39" t="s">
        <v>34</v>
      </c>
      <c r="J380" s="39" t="s">
        <v>42</v>
      </c>
      <c r="K380" s="39" t="n">
        <v>4</v>
      </c>
    </row>
    <row r="381" customFormat="false" ht="15" hidden="false" customHeight="false" outlineLevel="0" collapsed="false">
      <c r="A381" s="39" t="s">
        <v>491</v>
      </c>
      <c r="B381" s="40" t="n">
        <v>46236</v>
      </c>
      <c r="C381" s="39" t="s">
        <v>50</v>
      </c>
      <c r="D381" s="39" t="s">
        <v>37</v>
      </c>
      <c r="E381" s="39" t="s">
        <v>141</v>
      </c>
      <c r="F381" s="39" t="n">
        <v>1</v>
      </c>
      <c r="G381" s="41" t="n">
        <v>218</v>
      </c>
      <c r="H381" s="42" t="n">
        <f aca="false">F381*G381</f>
        <v>218</v>
      </c>
      <c r="I381" s="39" t="s">
        <v>34</v>
      </c>
      <c r="J381" s="39" t="s">
        <v>42</v>
      </c>
      <c r="K381" s="39" t="n">
        <v>4</v>
      </c>
    </row>
    <row r="382" customFormat="false" ht="15" hidden="false" customHeight="false" outlineLevel="0" collapsed="false">
      <c r="A382" s="39" t="s">
        <v>492</v>
      </c>
      <c r="B382" s="40" t="n">
        <v>46236</v>
      </c>
      <c r="C382" s="39" t="s">
        <v>51</v>
      </c>
      <c r="D382" s="39" t="s">
        <v>37</v>
      </c>
      <c r="E382" s="39" t="s">
        <v>131</v>
      </c>
      <c r="F382" s="39" t="n">
        <v>3</v>
      </c>
      <c r="G382" s="41" t="n">
        <v>248</v>
      </c>
      <c r="H382" s="42" t="n">
        <f aca="false">F382*G382</f>
        <v>744</v>
      </c>
      <c r="I382" s="39" t="s">
        <v>34</v>
      </c>
      <c r="J382" s="39" t="s">
        <v>42</v>
      </c>
      <c r="K382" s="39" t="n">
        <v>2</v>
      </c>
    </row>
    <row r="383" customFormat="false" ht="15" hidden="false" customHeight="false" outlineLevel="0" collapsed="false">
      <c r="A383" s="39" t="s">
        <v>493</v>
      </c>
      <c r="B383" s="40" t="n">
        <v>46236</v>
      </c>
      <c r="C383" s="39" t="s">
        <v>49</v>
      </c>
      <c r="D383" s="39" t="s">
        <v>35</v>
      </c>
      <c r="E383" s="39" t="s">
        <v>95</v>
      </c>
      <c r="F383" s="39" t="n">
        <v>1</v>
      </c>
      <c r="G383" s="41" t="n">
        <v>518</v>
      </c>
      <c r="H383" s="42" t="n">
        <f aca="false">F383*G383</f>
        <v>518</v>
      </c>
      <c r="I383" s="39" t="s">
        <v>34</v>
      </c>
      <c r="J383" s="39" t="s">
        <v>42</v>
      </c>
      <c r="K383" s="39" t="n">
        <v>3</v>
      </c>
    </row>
    <row r="384" customFormat="false" ht="15" hidden="false" customHeight="false" outlineLevel="0" collapsed="false">
      <c r="A384" s="39" t="s">
        <v>494</v>
      </c>
      <c r="B384" s="40" t="n">
        <v>46236</v>
      </c>
      <c r="C384" s="39" t="s">
        <v>51</v>
      </c>
      <c r="D384" s="39" t="s">
        <v>38</v>
      </c>
      <c r="E384" s="39" t="s">
        <v>110</v>
      </c>
      <c r="F384" s="39" t="n">
        <v>1</v>
      </c>
      <c r="G384" s="41" t="n">
        <v>828</v>
      </c>
      <c r="H384" s="42" t="n">
        <f aca="false">F384*G384</f>
        <v>828</v>
      </c>
      <c r="I384" s="39" t="s">
        <v>34</v>
      </c>
      <c r="J384" s="39" t="s">
        <v>42</v>
      </c>
      <c r="K384" s="39" t="n">
        <v>3</v>
      </c>
    </row>
    <row r="385" customFormat="false" ht="15" hidden="false" customHeight="false" outlineLevel="0" collapsed="false">
      <c r="A385" s="39" t="s">
        <v>495</v>
      </c>
      <c r="B385" s="40" t="n">
        <v>46236</v>
      </c>
      <c r="C385" s="39" t="s">
        <v>53</v>
      </c>
      <c r="D385" s="39" t="s">
        <v>38</v>
      </c>
      <c r="E385" s="39" t="s">
        <v>110</v>
      </c>
      <c r="F385" s="39" t="n">
        <v>1</v>
      </c>
      <c r="G385" s="41" t="n">
        <v>528</v>
      </c>
      <c r="H385" s="42" t="n">
        <f aca="false">F385*G385</f>
        <v>528</v>
      </c>
      <c r="I385" s="39" t="s">
        <v>34</v>
      </c>
      <c r="J385" s="39" t="s">
        <v>42</v>
      </c>
      <c r="K385" s="39" t="n">
        <v>4</v>
      </c>
    </row>
    <row r="386" customFormat="false" ht="15" hidden="false" customHeight="false" outlineLevel="0" collapsed="false">
      <c r="A386" s="39" t="s">
        <v>496</v>
      </c>
      <c r="B386" s="40" t="n">
        <v>46236</v>
      </c>
      <c r="C386" s="39" t="s">
        <v>48</v>
      </c>
      <c r="D386" s="39" t="s">
        <v>33</v>
      </c>
      <c r="E386" s="39" t="s">
        <v>102</v>
      </c>
      <c r="F386" s="39" t="n">
        <v>1</v>
      </c>
      <c r="G386" s="41" t="n">
        <v>588</v>
      </c>
      <c r="H386" s="42" t="n">
        <f aca="false">F386*G386</f>
        <v>588</v>
      </c>
      <c r="I386" s="39" t="s">
        <v>34</v>
      </c>
      <c r="J386" s="39" t="s">
        <v>42</v>
      </c>
      <c r="K386" s="39" t="n">
        <v>3</v>
      </c>
    </row>
    <row r="387" customFormat="false" ht="15" hidden="false" customHeight="false" outlineLevel="0" collapsed="false">
      <c r="A387" s="39" t="s">
        <v>497</v>
      </c>
      <c r="B387" s="40" t="n">
        <v>46236</v>
      </c>
      <c r="C387" s="39" t="s">
        <v>48</v>
      </c>
      <c r="D387" s="39" t="s">
        <v>35</v>
      </c>
      <c r="E387" s="39" t="s">
        <v>95</v>
      </c>
      <c r="F387" s="39" t="n">
        <v>1</v>
      </c>
      <c r="G387" s="41" t="n">
        <v>598</v>
      </c>
      <c r="H387" s="42" t="n">
        <f aca="false">F387*G387</f>
        <v>598</v>
      </c>
      <c r="I387" s="39" t="s">
        <v>36</v>
      </c>
      <c r="J387" s="39" t="s">
        <v>42</v>
      </c>
      <c r="K387" s="39" t="n">
        <v>4</v>
      </c>
    </row>
    <row r="388" customFormat="false" ht="15" hidden="false" customHeight="false" outlineLevel="0" collapsed="false">
      <c r="A388" s="39" t="s">
        <v>498</v>
      </c>
      <c r="B388" s="40" t="n">
        <v>46236</v>
      </c>
      <c r="C388" s="39" t="s">
        <v>48</v>
      </c>
      <c r="D388" s="39" t="s">
        <v>37</v>
      </c>
      <c r="E388" s="39" t="s">
        <v>97</v>
      </c>
      <c r="F388" s="39" t="n">
        <v>1</v>
      </c>
      <c r="G388" s="41" t="n">
        <v>358</v>
      </c>
      <c r="H388" s="42" t="n">
        <f aca="false">F388*G388</f>
        <v>358</v>
      </c>
      <c r="I388" s="39" t="s">
        <v>36</v>
      </c>
      <c r="J388" s="39" t="s">
        <v>42</v>
      </c>
      <c r="K388" s="39" t="n">
        <v>4</v>
      </c>
    </row>
    <row r="389" customFormat="false" ht="15" hidden="false" customHeight="false" outlineLevel="0" collapsed="false">
      <c r="A389" s="39" t="s">
        <v>499</v>
      </c>
      <c r="B389" s="40" t="n">
        <v>46236</v>
      </c>
      <c r="C389" s="39" t="s">
        <v>51</v>
      </c>
      <c r="D389" s="39" t="s">
        <v>37</v>
      </c>
      <c r="E389" s="39" t="s">
        <v>141</v>
      </c>
      <c r="F389" s="39" t="n">
        <v>1</v>
      </c>
      <c r="G389" s="41" t="n">
        <v>588</v>
      </c>
      <c r="H389" s="42" t="n">
        <f aca="false">F389*G389</f>
        <v>588</v>
      </c>
      <c r="I389" s="39" t="s">
        <v>36</v>
      </c>
      <c r="J389" s="39" t="s">
        <v>42</v>
      </c>
      <c r="K389" s="39" t="n">
        <v>4</v>
      </c>
    </row>
    <row r="390" customFormat="false" ht="15" hidden="false" customHeight="false" outlineLevel="0" collapsed="false">
      <c r="A390" s="39" t="s">
        <v>500</v>
      </c>
      <c r="B390" s="40" t="n">
        <v>46236</v>
      </c>
      <c r="C390" s="39" t="s">
        <v>109</v>
      </c>
      <c r="D390" s="39" t="s">
        <v>39</v>
      </c>
      <c r="E390" s="39" t="s">
        <v>99</v>
      </c>
      <c r="F390" s="39" t="n">
        <v>2</v>
      </c>
      <c r="G390" s="41" t="n">
        <v>408</v>
      </c>
      <c r="H390" s="42" t="n">
        <f aca="false">F390*G390</f>
        <v>816</v>
      </c>
      <c r="I390" s="39" t="s">
        <v>34</v>
      </c>
      <c r="J390" s="39" t="s">
        <v>42</v>
      </c>
      <c r="K390" s="39" t="n">
        <v>6</v>
      </c>
    </row>
    <row r="391" customFormat="false" ht="15" hidden="false" customHeight="false" outlineLevel="0" collapsed="false">
      <c r="A391" s="39" t="s">
        <v>501</v>
      </c>
      <c r="B391" s="40" t="n">
        <v>46236</v>
      </c>
      <c r="C391" s="39" t="s">
        <v>50</v>
      </c>
      <c r="D391" s="39" t="s">
        <v>38</v>
      </c>
      <c r="E391" s="39" t="s">
        <v>107</v>
      </c>
      <c r="F391" s="39" t="n">
        <v>1</v>
      </c>
      <c r="G391" s="41" t="n">
        <v>358</v>
      </c>
      <c r="H391" s="42" t="n">
        <f aca="false">F391*G391</f>
        <v>358</v>
      </c>
      <c r="I391" s="39" t="s">
        <v>34</v>
      </c>
      <c r="J391" s="39" t="s">
        <v>42</v>
      </c>
      <c r="K391" s="39" t="n">
        <v>5</v>
      </c>
    </row>
    <row r="392" customFormat="false" ht="15" hidden="false" customHeight="false" outlineLevel="0" collapsed="false">
      <c r="A392" s="39" t="s">
        <v>502</v>
      </c>
      <c r="B392" s="40" t="n">
        <v>46236</v>
      </c>
      <c r="C392" s="39" t="s">
        <v>53</v>
      </c>
      <c r="D392" s="39" t="s">
        <v>33</v>
      </c>
      <c r="E392" s="39" t="s">
        <v>114</v>
      </c>
      <c r="F392" s="39" t="n">
        <v>1</v>
      </c>
      <c r="G392" s="41" t="n">
        <v>798</v>
      </c>
      <c r="H392" s="42" t="n">
        <f aca="false">F392*G392</f>
        <v>798</v>
      </c>
      <c r="I392" s="39" t="s">
        <v>34</v>
      </c>
      <c r="J392" s="39" t="s">
        <v>42</v>
      </c>
      <c r="K392" s="39" t="n">
        <v>5</v>
      </c>
    </row>
    <row r="393" customFormat="false" ht="15" hidden="false" customHeight="false" outlineLevel="0" collapsed="false">
      <c r="A393" s="39" t="s">
        <v>503</v>
      </c>
      <c r="B393" s="40" t="n">
        <v>46236</v>
      </c>
      <c r="C393" s="39" t="s">
        <v>50</v>
      </c>
      <c r="D393" s="39" t="s">
        <v>35</v>
      </c>
      <c r="E393" s="39" t="s">
        <v>125</v>
      </c>
      <c r="F393" s="39" t="n">
        <v>2</v>
      </c>
      <c r="G393" s="41" t="n">
        <v>278</v>
      </c>
      <c r="H393" s="42" t="n">
        <f aca="false">F393*G393</f>
        <v>556</v>
      </c>
      <c r="I393" s="39" t="s">
        <v>34</v>
      </c>
      <c r="J393" s="39" t="s">
        <v>42</v>
      </c>
      <c r="K393" s="39" t="n">
        <v>2</v>
      </c>
    </row>
    <row r="394" customFormat="false" ht="15" hidden="false" customHeight="false" outlineLevel="0" collapsed="false">
      <c r="A394" s="39" t="s">
        <v>504</v>
      </c>
      <c r="B394" s="40" t="n">
        <v>46236</v>
      </c>
      <c r="C394" s="39" t="s">
        <v>50</v>
      </c>
      <c r="D394" s="39" t="s">
        <v>33</v>
      </c>
      <c r="E394" s="39" t="s">
        <v>102</v>
      </c>
      <c r="F394" s="39" t="n">
        <v>1</v>
      </c>
      <c r="G394" s="41" t="n">
        <v>488</v>
      </c>
      <c r="H394" s="42" t="n">
        <f aca="false">F394*G394</f>
        <v>488</v>
      </c>
      <c r="I394" s="39" t="s">
        <v>34</v>
      </c>
      <c r="J394" s="39" t="s">
        <v>42</v>
      </c>
      <c r="K394" s="39" t="n">
        <v>5</v>
      </c>
    </row>
    <row r="395" customFormat="false" ht="15" hidden="false" customHeight="false" outlineLevel="0" collapsed="false">
      <c r="A395" s="39" t="s">
        <v>505</v>
      </c>
      <c r="B395" s="40" t="n">
        <v>46236</v>
      </c>
      <c r="C395" s="39" t="s">
        <v>52</v>
      </c>
      <c r="D395" s="39" t="s">
        <v>33</v>
      </c>
      <c r="E395" s="39" t="s">
        <v>102</v>
      </c>
      <c r="F395" s="39" t="n">
        <v>2</v>
      </c>
      <c r="G395" s="41" t="n">
        <v>618</v>
      </c>
      <c r="H395" s="42" t="n">
        <f aca="false">F395*G395</f>
        <v>1236</v>
      </c>
      <c r="I395" s="39" t="s">
        <v>34</v>
      </c>
      <c r="J395" s="39" t="s">
        <v>42</v>
      </c>
      <c r="K395" s="39" t="n">
        <v>3</v>
      </c>
    </row>
    <row r="396" customFormat="false" ht="15" hidden="false" customHeight="false" outlineLevel="0" collapsed="false">
      <c r="A396" s="39" t="s">
        <v>506</v>
      </c>
      <c r="B396" s="40" t="n">
        <v>46236</v>
      </c>
      <c r="C396" s="39" t="s">
        <v>52</v>
      </c>
      <c r="D396" s="39" t="s">
        <v>37</v>
      </c>
      <c r="E396" s="39" t="s">
        <v>141</v>
      </c>
      <c r="F396" s="39" t="n">
        <v>1</v>
      </c>
      <c r="G396" s="41" t="n">
        <v>578</v>
      </c>
      <c r="H396" s="42" t="n">
        <f aca="false">F396*G396</f>
        <v>578</v>
      </c>
      <c r="I396" s="39" t="s">
        <v>34</v>
      </c>
      <c r="J396" s="39" t="s">
        <v>42</v>
      </c>
      <c r="K396" s="39" t="n">
        <v>6</v>
      </c>
    </row>
    <row r="397" customFormat="false" ht="15" hidden="false" customHeight="false" outlineLevel="0" collapsed="false">
      <c r="A397" s="39" t="s">
        <v>507</v>
      </c>
      <c r="B397" s="40" t="n">
        <v>46236</v>
      </c>
      <c r="C397" s="39" t="s">
        <v>50</v>
      </c>
      <c r="D397" s="39" t="s">
        <v>35</v>
      </c>
      <c r="E397" s="39" t="s">
        <v>159</v>
      </c>
      <c r="F397" s="39" t="n">
        <v>2</v>
      </c>
      <c r="G397" s="41" t="n">
        <v>538</v>
      </c>
      <c r="H397" s="42" t="n">
        <f aca="false">F397*G397</f>
        <v>1076</v>
      </c>
      <c r="I397" s="39" t="s">
        <v>34</v>
      </c>
      <c r="J397" s="39" t="s">
        <v>42</v>
      </c>
      <c r="K397" s="39" t="n">
        <v>4</v>
      </c>
    </row>
    <row r="398" customFormat="false" ht="15" hidden="false" customHeight="false" outlineLevel="0" collapsed="false">
      <c r="A398" s="39" t="s">
        <v>508</v>
      </c>
      <c r="B398" s="40" t="n">
        <v>46236</v>
      </c>
      <c r="C398" s="39" t="s">
        <v>101</v>
      </c>
      <c r="D398" s="39" t="s">
        <v>37</v>
      </c>
      <c r="E398" s="39" t="s">
        <v>141</v>
      </c>
      <c r="F398" s="39" t="n">
        <v>2</v>
      </c>
      <c r="G398" s="41" t="n">
        <v>298</v>
      </c>
      <c r="H398" s="42" t="n">
        <f aca="false">F398*G398</f>
        <v>596</v>
      </c>
      <c r="I398" s="39" t="s">
        <v>36</v>
      </c>
      <c r="J398" s="39" t="s">
        <v>42</v>
      </c>
      <c r="K398" s="39" t="n">
        <v>5</v>
      </c>
    </row>
    <row r="399" customFormat="false" ht="15" hidden="false" customHeight="false" outlineLevel="0" collapsed="false">
      <c r="A399" s="39" t="s">
        <v>509</v>
      </c>
      <c r="B399" s="40" t="n">
        <v>46237</v>
      </c>
      <c r="C399" s="39" t="s">
        <v>53</v>
      </c>
      <c r="D399" s="39" t="s">
        <v>33</v>
      </c>
      <c r="E399" s="39" t="s">
        <v>102</v>
      </c>
      <c r="F399" s="39" t="n">
        <v>1</v>
      </c>
      <c r="G399" s="41" t="n">
        <v>858</v>
      </c>
      <c r="H399" s="42" t="n">
        <f aca="false">F399*G399</f>
        <v>858</v>
      </c>
      <c r="I399" s="39" t="s">
        <v>34</v>
      </c>
      <c r="J399" s="39" t="s">
        <v>42</v>
      </c>
      <c r="K399" s="39" t="n">
        <v>5</v>
      </c>
    </row>
    <row r="400" customFormat="false" ht="15" hidden="false" customHeight="false" outlineLevel="0" collapsed="false">
      <c r="A400" s="39" t="s">
        <v>510</v>
      </c>
      <c r="B400" s="40" t="n">
        <v>46237</v>
      </c>
      <c r="C400" s="39" t="s">
        <v>48</v>
      </c>
      <c r="D400" s="39" t="s">
        <v>35</v>
      </c>
      <c r="E400" s="39" t="s">
        <v>125</v>
      </c>
      <c r="F400" s="39" t="n">
        <v>2</v>
      </c>
      <c r="G400" s="41" t="n">
        <v>398</v>
      </c>
      <c r="H400" s="42" t="n">
        <f aca="false">F400*G400</f>
        <v>796</v>
      </c>
      <c r="I400" s="39" t="s">
        <v>36</v>
      </c>
      <c r="J400" s="39" t="s">
        <v>42</v>
      </c>
      <c r="K400" s="39" t="n">
        <v>3</v>
      </c>
    </row>
    <row r="401" customFormat="false" ht="15" hidden="false" customHeight="false" outlineLevel="0" collapsed="false">
      <c r="A401" s="39" t="s">
        <v>511</v>
      </c>
      <c r="B401" s="40" t="n">
        <v>46237</v>
      </c>
      <c r="C401" s="39" t="s">
        <v>48</v>
      </c>
      <c r="D401" s="39" t="s">
        <v>33</v>
      </c>
      <c r="E401" s="39" t="s">
        <v>102</v>
      </c>
      <c r="F401" s="39" t="n">
        <v>1</v>
      </c>
      <c r="G401" s="41" t="n">
        <v>548</v>
      </c>
      <c r="H401" s="42" t="n">
        <f aca="false">F401*G401</f>
        <v>548</v>
      </c>
      <c r="I401" s="39" t="s">
        <v>34</v>
      </c>
      <c r="J401" s="39" t="s">
        <v>42</v>
      </c>
      <c r="K401" s="39" t="n">
        <v>5</v>
      </c>
    </row>
    <row r="402" customFormat="false" ht="15" hidden="false" customHeight="false" outlineLevel="0" collapsed="false">
      <c r="A402" s="39" t="s">
        <v>512</v>
      </c>
      <c r="B402" s="40" t="n">
        <v>46237</v>
      </c>
      <c r="C402" s="39" t="s">
        <v>51</v>
      </c>
      <c r="D402" s="39" t="s">
        <v>39</v>
      </c>
      <c r="E402" s="39" t="s">
        <v>99</v>
      </c>
      <c r="F402" s="39" t="n">
        <v>1</v>
      </c>
      <c r="G402" s="41" t="n">
        <v>698</v>
      </c>
      <c r="H402" s="42" t="n">
        <f aca="false">F402*G402</f>
        <v>698</v>
      </c>
      <c r="I402" s="39" t="s">
        <v>34</v>
      </c>
      <c r="J402" s="39" t="s">
        <v>42</v>
      </c>
      <c r="K402" s="39" t="n">
        <v>4</v>
      </c>
    </row>
    <row r="403" customFormat="false" ht="15" hidden="false" customHeight="false" outlineLevel="0" collapsed="false">
      <c r="A403" s="39" t="s">
        <v>513</v>
      </c>
      <c r="B403" s="40" t="n">
        <v>46237</v>
      </c>
      <c r="C403" s="39" t="s">
        <v>51</v>
      </c>
      <c r="D403" s="39" t="s">
        <v>35</v>
      </c>
      <c r="E403" s="39" t="s">
        <v>125</v>
      </c>
      <c r="F403" s="39" t="n">
        <v>1</v>
      </c>
      <c r="G403" s="41" t="n">
        <v>768</v>
      </c>
      <c r="H403" s="42" t="n">
        <f aca="false">F403*G403</f>
        <v>768</v>
      </c>
      <c r="I403" s="39" t="s">
        <v>36</v>
      </c>
      <c r="J403" s="39" t="s">
        <v>42</v>
      </c>
      <c r="K403" s="39" t="n">
        <v>5</v>
      </c>
    </row>
    <row r="404" customFormat="false" ht="15" hidden="false" customHeight="false" outlineLevel="0" collapsed="false">
      <c r="A404" s="39" t="s">
        <v>514</v>
      </c>
      <c r="B404" s="40" t="n">
        <v>46237</v>
      </c>
      <c r="C404" s="39" t="s">
        <v>52</v>
      </c>
      <c r="D404" s="39" t="s">
        <v>33</v>
      </c>
      <c r="E404" s="39" t="s">
        <v>136</v>
      </c>
      <c r="F404" s="39" t="n">
        <v>1</v>
      </c>
      <c r="G404" s="41" t="n">
        <v>778</v>
      </c>
      <c r="H404" s="42" t="n">
        <f aca="false">F404*G404</f>
        <v>778</v>
      </c>
      <c r="I404" s="39" t="s">
        <v>34</v>
      </c>
      <c r="J404" s="39" t="s">
        <v>42</v>
      </c>
      <c r="K404" s="39" t="n">
        <v>3</v>
      </c>
    </row>
    <row r="405" customFormat="false" ht="15" hidden="false" customHeight="false" outlineLevel="0" collapsed="false">
      <c r="A405" s="39" t="s">
        <v>515</v>
      </c>
      <c r="B405" s="40" t="n">
        <v>46237</v>
      </c>
      <c r="C405" s="39" t="s">
        <v>101</v>
      </c>
      <c r="D405" s="39" t="s">
        <v>38</v>
      </c>
      <c r="E405" s="39" t="s">
        <v>110</v>
      </c>
      <c r="F405" s="39" t="n">
        <v>2</v>
      </c>
      <c r="G405" s="41" t="n">
        <v>478</v>
      </c>
      <c r="H405" s="42" t="n">
        <f aca="false">F405*G405</f>
        <v>956</v>
      </c>
      <c r="I405" s="39" t="s">
        <v>36</v>
      </c>
      <c r="J405" s="39" t="s">
        <v>42</v>
      </c>
      <c r="K405" s="39" t="n">
        <v>4</v>
      </c>
    </row>
    <row r="406" customFormat="false" ht="15" hidden="false" customHeight="false" outlineLevel="0" collapsed="false">
      <c r="A406" s="39" t="s">
        <v>516</v>
      </c>
      <c r="B406" s="40" t="n">
        <v>46237</v>
      </c>
      <c r="C406" s="39" t="s">
        <v>53</v>
      </c>
      <c r="D406" s="39" t="s">
        <v>37</v>
      </c>
      <c r="E406" s="39" t="s">
        <v>97</v>
      </c>
      <c r="F406" s="39" t="n">
        <v>2</v>
      </c>
      <c r="G406" s="41" t="n">
        <v>478</v>
      </c>
      <c r="H406" s="42" t="n">
        <f aca="false">F406*G406</f>
        <v>956</v>
      </c>
      <c r="I406" s="39" t="s">
        <v>36</v>
      </c>
      <c r="J406" s="39" t="s">
        <v>42</v>
      </c>
      <c r="K406" s="39" t="n">
        <v>3</v>
      </c>
    </row>
    <row r="407" customFormat="false" ht="15" hidden="false" customHeight="false" outlineLevel="0" collapsed="false">
      <c r="A407" s="39" t="s">
        <v>517</v>
      </c>
      <c r="B407" s="40" t="n">
        <v>46237</v>
      </c>
      <c r="C407" s="39" t="s">
        <v>52</v>
      </c>
      <c r="D407" s="39" t="s">
        <v>35</v>
      </c>
      <c r="E407" s="39" t="s">
        <v>125</v>
      </c>
      <c r="F407" s="39" t="n">
        <v>3</v>
      </c>
      <c r="G407" s="41" t="n">
        <v>788</v>
      </c>
      <c r="H407" s="42" t="n">
        <f aca="false">F407*G407</f>
        <v>2364</v>
      </c>
      <c r="I407" s="39" t="s">
        <v>36</v>
      </c>
      <c r="J407" s="39" t="s">
        <v>42</v>
      </c>
      <c r="K407" s="39" t="n">
        <v>6</v>
      </c>
    </row>
    <row r="408" customFormat="false" ht="15" hidden="false" customHeight="false" outlineLevel="0" collapsed="false">
      <c r="A408" s="39" t="s">
        <v>518</v>
      </c>
      <c r="B408" s="40" t="n">
        <v>46237</v>
      </c>
      <c r="C408" s="39" t="s">
        <v>51</v>
      </c>
      <c r="D408" s="39" t="s">
        <v>38</v>
      </c>
      <c r="E408" s="39" t="s">
        <v>107</v>
      </c>
      <c r="F408" s="39" t="n">
        <v>1</v>
      </c>
      <c r="G408" s="41" t="n">
        <v>898</v>
      </c>
      <c r="H408" s="42" t="n">
        <f aca="false">F408*G408</f>
        <v>898</v>
      </c>
      <c r="I408" s="39" t="s">
        <v>34</v>
      </c>
      <c r="J408" s="39" t="s">
        <v>42</v>
      </c>
      <c r="K408" s="39" t="n">
        <v>4</v>
      </c>
    </row>
    <row r="409" customFormat="false" ht="15" hidden="false" customHeight="false" outlineLevel="0" collapsed="false">
      <c r="A409" s="39" t="s">
        <v>519</v>
      </c>
      <c r="B409" s="40" t="n">
        <v>46237</v>
      </c>
      <c r="C409" s="39" t="s">
        <v>109</v>
      </c>
      <c r="D409" s="39" t="s">
        <v>39</v>
      </c>
      <c r="E409" s="39" t="s">
        <v>129</v>
      </c>
      <c r="F409" s="39" t="n">
        <v>1</v>
      </c>
      <c r="G409" s="41" t="n">
        <v>668</v>
      </c>
      <c r="H409" s="42" t="n">
        <f aca="false">F409*G409</f>
        <v>668</v>
      </c>
      <c r="I409" s="39" t="s">
        <v>34</v>
      </c>
      <c r="J409" s="39" t="s">
        <v>43</v>
      </c>
      <c r="K409" s="39" t="n">
        <v>3</v>
      </c>
    </row>
    <row r="410" customFormat="false" ht="15" hidden="false" customHeight="false" outlineLevel="0" collapsed="false">
      <c r="A410" s="39" t="s">
        <v>520</v>
      </c>
      <c r="B410" s="40" t="n">
        <v>46237</v>
      </c>
      <c r="C410" s="39" t="s">
        <v>48</v>
      </c>
      <c r="D410" s="39" t="s">
        <v>33</v>
      </c>
      <c r="E410" s="39" t="s">
        <v>114</v>
      </c>
      <c r="F410" s="39" t="n">
        <v>2</v>
      </c>
      <c r="G410" s="41" t="n">
        <v>858</v>
      </c>
      <c r="H410" s="42" t="n">
        <f aca="false">F410*G410</f>
        <v>1716</v>
      </c>
      <c r="I410" s="39" t="s">
        <v>36</v>
      </c>
      <c r="J410" s="39" t="s">
        <v>42</v>
      </c>
      <c r="K410" s="39" t="n">
        <v>4</v>
      </c>
    </row>
    <row r="411" customFormat="false" ht="15" hidden="false" customHeight="false" outlineLevel="0" collapsed="false">
      <c r="A411" s="39" t="s">
        <v>521</v>
      </c>
      <c r="B411" s="40" t="n">
        <v>46237</v>
      </c>
      <c r="C411" s="39" t="s">
        <v>53</v>
      </c>
      <c r="D411" s="39" t="s">
        <v>37</v>
      </c>
      <c r="E411" s="39" t="s">
        <v>141</v>
      </c>
      <c r="F411" s="39" t="n">
        <v>2</v>
      </c>
      <c r="G411" s="41" t="n">
        <v>618</v>
      </c>
      <c r="H411" s="42" t="n">
        <f aca="false">F411*G411</f>
        <v>1236</v>
      </c>
      <c r="I411" s="39" t="s">
        <v>36</v>
      </c>
      <c r="J411" s="39" t="s">
        <v>42</v>
      </c>
      <c r="K411" s="39" t="n">
        <v>3</v>
      </c>
    </row>
    <row r="412" customFormat="false" ht="15" hidden="false" customHeight="false" outlineLevel="0" collapsed="false">
      <c r="A412" s="39" t="s">
        <v>522</v>
      </c>
      <c r="B412" s="40" t="n">
        <v>46238</v>
      </c>
      <c r="C412" s="39" t="s">
        <v>109</v>
      </c>
      <c r="D412" s="39" t="s">
        <v>35</v>
      </c>
      <c r="E412" s="39" t="s">
        <v>95</v>
      </c>
      <c r="F412" s="39" t="n">
        <v>1</v>
      </c>
      <c r="G412" s="41" t="n">
        <v>708</v>
      </c>
      <c r="H412" s="42" t="n">
        <f aca="false">F412*G412</f>
        <v>708</v>
      </c>
      <c r="I412" s="39" t="s">
        <v>34</v>
      </c>
      <c r="J412" s="39" t="s">
        <v>42</v>
      </c>
      <c r="K412" s="39" t="n">
        <v>4</v>
      </c>
    </row>
    <row r="413" customFormat="false" ht="15" hidden="false" customHeight="false" outlineLevel="0" collapsed="false">
      <c r="A413" s="39" t="s">
        <v>523</v>
      </c>
      <c r="B413" s="40" t="n">
        <v>46238</v>
      </c>
      <c r="C413" s="39" t="s">
        <v>51</v>
      </c>
      <c r="D413" s="39" t="s">
        <v>35</v>
      </c>
      <c r="E413" s="39" t="s">
        <v>95</v>
      </c>
      <c r="F413" s="39" t="n">
        <v>1</v>
      </c>
      <c r="G413" s="41" t="n">
        <v>518</v>
      </c>
      <c r="H413" s="42" t="n">
        <f aca="false">F413*G413</f>
        <v>518</v>
      </c>
      <c r="I413" s="39" t="s">
        <v>34</v>
      </c>
      <c r="J413" s="39" t="s">
        <v>42</v>
      </c>
      <c r="K413" s="39" t="n">
        <v>5</v>
      </c>
    </row>
    <row r="414" customFormat="false" ht="15" hidden="false" customHeight="false" outlineLevel="0" collapsed="false">
      <c r="A414" s="39" t="s">
        <v>524</v>
      </c>
      <c r="B414" s="40" t="n">
        <v>46238</v>
      </c>
      <c r="C414" s="39" t="s">
        <v>50</v>
      </c>
      <c r="D414" s="39" t="s">
        <v>38</v>
      </c>
      <c r="E414" s="39" t="s">
        <v>110</v>
      </c>
      <c r="F414" s="39" t="n">
        <v>1</v>
      </c>
      <c r="G414" s="41" t="n">
        <v>428</v>
      </c>
      <c r="H414" s="42" t="n">
        <f aca="false">F414*G414</f>
        <v>428</v>
      </c>
      <c r="I414" s="39" t="s">
        <v>34</v>
      </c>
      <c r="J414" s="39" t="s">
        <v>42</v>
      </c>
      <c r="K414" s="39" t="n">
        <v>3</v>
      </c>
    </row>
    <row r="415" customFormat="false" ht="15" hidden="false" customHeight="false" outlineLevel="0" collapsed="false">
      <c r="A415" s="39" t="s">
        <v>525</v>
      </c>
      <c r="B415" s="40" t="n">
        <v>46238</v>
      </c>
      <c r="C415" s="39" t="s">
        <v>53</v>
      </c>
      <c r="D415" s="39" t="s">
        <v>33</v>
      </c>
      <c r="E415" s="39" t="s">
        <v>117</v>
      </c>
      <c r="F415" s="39" t="n">
        <v>1</v>
      </c>
      <c r="G415" s="41" t="n">
        <v>828</v>
      </c>
      <c r="H415" s="42" t="n">
        <f aca="false">F415*G415</f>
        <v>828</v>
      </c>
      <c r="I415" s="39" t="s">
        <v>34</v>
      </c>
      <c r="J415" s="39" t="s">
        <v>42</v>
      </c>
      <c r="K415" s="39" t="n">
        <v>5</v>
      </c>
    </row>
    <row r="416" customFormat="false" ht="15" hidden="false" customHeight="false" outlineLevel="0" collapsed="false">
      <c r="A416" s="39" t="s">
        <v>526</v>
      </c>
      <c r="B416" s="40" t="n">
        <v>46238</v>
      </c>
      <c r="C416" s="39" t="s">
        <v>50</v>
      </c>
      <c r="D416" s="39" t="s">
        <v>33</v>
      </c>
      <c r="E416" s="39" t="s">
        <v>117</v>
      </c>
      <c r="F416" s="39" t="n">
        <v>2</v>
      </c>
      <c r="G416" s="41" t="n">
        <v>508</v>
      </c>
      <c r="H416" s="42" t="n">
        <f aca="false">F416*G416</f>
        <v>1016</v>
      </c>
      <c r="I416" s="39" t="s">
        <v>34</v>
      </c>
      <c r="J416" s="39" t="s">
        <v>42</v>
      </c>
      <c r="K416" s="39" t="n">
        <v>3</v>
      </c>
    </row>
    <row r="417" customFormat="false" ht="15" hidden="false" customHeight="false" outlineLevel="0" collapsed="false">
      <c r="A417" s="39" t="s">
        <v>527</v>
      </c>
      <c r="B417" s="40" t="n">
        <v>46238</v>
      </c>
      <c r="C417" s="39" t="s">
        <v>53</v>
      </c>
      <c r="D417" s="39" t="s">
        <v>37</v>
      </c>
      <c r="E417" s="39" t="s">
        <v>131</v>
      </c>
      <c r="F417" s="39" t="n">
        <v>1</v>
      </c>
      <c r="G417" s="41" t="n">
        <v>488</v>
      </c>
      <c r="H417" s="42" t="n">
        <f aca="false">F417*G417</f>
        <v>488</v>
      </c>
      <c r="I417" s="39" t="s">
        <v>34</v>
      </c>
      <c r="J417" s="39" t="s">
        <v>42</v>
      </c>
      <c r="K417" s="39" t="n">
        <v>4</v>
      </c>
    </row>
    <row r="418" customFormat="false" ht="15" hidden="false" customHeight="false" outlineLevel="0" collapsed="false">
      <c r="A418" s="39" t="s">
        <v>528</v>
      </c>
      <c r="B418" s="40" t="n">
        <v>46238</v>
      </c>
      <c r="C418" s="39" t="s">
        <v>52</v>
      </c>
      <c r="D418" s="39" t="s">
        <v>39</v>
      </c>
      <c r="E418" s="39" t="s">
        <v>105</v>
      </c>
      <c r="F418" s="39" t="n">
        <v>2</v>
      </c>
      <c r="G418" s="41" t="n">
        <v>658</v>
      </c>
      <c r="H418" s="42" t="n">
        <f aca="false">F418*G418</f>
        <v>1316</v>
      </c>
      <c r="I418" s="39" t="s">
        <v>34</v>
      </c>
      <c r="J418" s="39" t="s">
        <v>42</v>
      </c>
      <c r="K418" s="39" t="n">
        <v>5</v>
      </c>
    </row>
    <row r="419" customFormat="false" ht="15" hidden="false" customHeight="false" outlineLevel="0" collapsed="false">
      <c r="A419" s="39" t="s">
        <v>529</v>
      </c>
      <c r="B419" s="40" t="n">
        <v>46238</v>
      </c>
      <c r="C419" s="39" t="s">
        <v>53</v>
      </c>
      <c r="D419" s="39" t="s">
        <v>33</v>
      </c>
      <c r="E419" s="39" t="s">
        <v>136</v>
      </c>
      <c r="F419" s="39" t="n">
        <v>1</v>
      </c>
      <c r="G419" s="41" t="n">
        <v>718</v>
      </c>
      <c r="H419" s="42" t="n">
        <f aca="false">F419*G419</f>
        <v>718</v>
      </c>
      <c r="I419" s="39" t="s">
        <v>34</v>
      </c>
      <c r="J419" s="39" t="s">
        <v>45</v>
      </c>
      <c r="K419" s="39"/>
    </row>
    <row r="420" customFormat="false" ht="15" hidden="false" customHeight="false" outlineLevel="0" collapsed="false">
      <c r="A420" s="39" t="s">
        <v>530</v>
      </c>
      <c r="B420" s="40" t="n">
        <v>46238</v>
      </c>
      <c r="C420" s="39" t="s">
        <v>101</v>
      </c>
      <c r="D420" s="39" t="s">
        <v>35</v>
      </c>
      <c r="E420" s="39" t="s">
        <v>159</v>
      </c>
      <c r="F420" s="39" t="n">
        <v>1</v>
      </c>
      <c r="G420" s="41" t="n">
        <v>768</v>
      </c>
      <c r="H420" s="42" t="n">
        <f aca="false">F420*G420</f>
        <v>768</v>
      </c>
      <c r="I420" s="39" t="s">
        <v>36</v>
      </c>
      <c r="J420" s="39" t="s">
        <v>42</v>
      </c>
      <c r="K420" s="39" t="n">
        <v>3</v>
      </c>
    </row>
    <row r="421" customFormat="false" ht="15" hidden="false" customHeight="false" outlineLevel="0" collapsed="false">
      <c r="A421" s="39" t="s">
        <v>531</v>
      </c>
      <c r="B421" s="40" t="n">
        <v>46238</v>
      </c>
      <c r="C421" s="39" t="s">
        <v>109</v>
      </c>
      <c r="D421" s="39" t="s">
        <v>38</v>
      </c>
      <c r="E421" s="39" t="s">
        <v>121</v>
      </c>
      <c r="F421" s="39" t="n">
        <v>1</v>
      </c>
      <c r="G421" s="41" t="n">
        <v>938</v>
      </c>
      <c r="H421" s="42" t="n">
        <f aca="false">F421*G421</f>
        <v>938</v>
      </c>
      <c r="I421" s="39" t="s">
        <v>34</v>
      </c>
      <c r="J421" s="39" t="s">
        <v>43</v>
      </c>
      <c r="K421" s="39" t="n">
        <v>7</v>
      </c>
    </row>
    <row r="422" customFormat="false" ht="15" hidden="false" customHeight="false" outlineLevel="0" collapsed="false">
      <c r="A422" s="39" t="s">
        <v>532</v>
      </c>
      <c r="B422" s="40" t="n">
        <v>46239</v>
      </c>
      <c r="C422" s="39" t="s">
        <v>101</v>
      </c>
      <c r="D422" s="39" t="s">
        <v>33</v>
      </c>
      <c r="E422" s="39" t="s">
        <v>117</v>
      </c>
      <c r="F422" s="39" t="n">
        <v>1</v>
      </c>
      <c r="G422" s="41" t="n">
        <v>698</v>
      </c>
      <c r="H422" s="42" t="n">
        <f aca="false">F422*G422</f>
        <v>698</v>
      </c>
      <c r="I422" s="39" t="s">
        <v>36</v>
      </c>
      <c r="J422" s="39" t="s">
        <v>42</v>
      </c>
      <c r="K422" s="39" t="n">
        <v>3</v>
      </c>
    </row>
    <row r="423" customFormat="false" ht="15" hidden="false" customHeight="false" outlineLevel="0" collapsed="false">
      <c r="A423" s="39" t="s">
        <v>533</v>
      </c>
      <c r="B423" s="40" t="n">
        <v>46239</v>
      </c>
      <c r="C423" s="39" t="s">
        <v>101</v>
      </c>
      <c r="D423" s="39" t="s">
        <v>38</v>
      </c>
      <c r="E423" s="39" t="s">
        <v>107</v>
      </c>
      <c r="F423" s="39" t="n">
        <v>1</v>
      </c>
      <c r="G423" s="41" t="n">
        <v>488</v>
      </c>
      <c r="H423" s="42" t="n">
        <f aca="false">F423*G423</f>
        <v>488</v>
      </c>
      <c r="I423" s="39" t="s">
        <v>34</v>
      </c>
      <c r="J423" s="39" t="s">
        <v>42</v>
      </c>
      <c r="K423" s="39" t="n">
        <v>4</v>
      </c>
    </row>
    <row r="424" customFormat="false" ht="15" hidden="false" customHeight="false" outlineLevel="0" collapsed="false">
      <c r="A424" s="39" t="s">
        <v>534</v>
      </c>
      <c r="B424" s="40" t="n">
        <v>46239</v>
      </c>
      <c r="C424" s="39" t="s">
        <v>50</v>
      </c>
      <c r="D424" s="39" t="s">
        <v>33</v>
      </c>
      <c r="E424" s="39" t="s">
        <v>136</v>
      </c>
      <c r="F424" s="39" t="n">
        <v>1</v>
      </c>
      <c r="G424" s="41" t="n">
        <v>808</v>
      </c>
      <c r="H424" s="42" t="n">
        <f aca="false">F424*G424</f>
        <v>808</v>
      </c>
      <c r="I424" s="39" t="s">
        <v>34</v>
      </c>
      <c r="J424" s="39" t="s">
        <v>42</v>
      </c>
      <c r="K424" s="39" t="n">
        <v>4</v>
      </c>
    </row>
    <row r="425" customFormat="false" ht="15" hidden="false" customHeight="false" outlineLevel="0" collapsed="false">
      <c r="A425" s="39" t="s">
        <v>535</v>
      </c>
      <c r="B425" s="40" t="n">
        <v>46239</v>
      </c>
      <c r="C425" s="39" t="s">
        <v>48</v>
      </c>
      <c r="D425" s="39" t="s">
        <v>37</v>
      </c>
      <c r="E425" s="39" t="s">
        <v>131</v>
      </c>
      <c r="F425" s="39" t="n">
        <v>1</v>
      </c>
      <c r="G425" s="41" t="n">
        <v>398</v>
      </c>
      <c r="H425" s="42" t="n">
        <f aca="false">F425*G425</f>
        <v>398</v>
      </c>
      <c r="I425" s="39" t="s">
        <v>36</v>
      </c>
      <c r="J425" s="39" t="s">
        <v>42</v>
      </c>
      <c r="K425" s="39" t="n">
        <v>6</v>
      </c>
    </row>
    <row r="426" customFormat="false" ht="15" hidden="false" customHeight="false" outlineLevel="0" collapsed="false">
      <c r="A426" s="39" t="s">
        <v>536</v>
      </c>
      <c r="B426" s="40" t="n">
        <v>46239</v>
      </c>
      <c r="C426" s="39" t="s">
        <v>50</v>
      </c>
      <c r="D426" s="39" t="s">
        <v>37</v>
      </c>
      <c r="E426" s="39" t="s">
        <v>97</v>
      </c>
      <c r="F426" s="39" t="n">
        <v>1</v>
      </c>
      <c r="G426" s="41" t="n">
        <v>418</v>
      </c>
      <c r="H426" s="42" t="n">
        <f aca="false">F426*G426</f>
        <v>418</v>
      </c>
      <c r="I426" s="39" t="s">
        <v>34</v>
      </c>
      <c r="J426" s="39" t="s">
        <v>43</v>
      </c>
      <c r="K426" s="39" t="n">
        <v>3</v>
      </c>
    </row>
    <row r="427" customFormat="false" ht="15" hidden="false" customHeight="false" outlineLevel="0" collapsed="false">
      <c r="A427" s="39" t="s">
        <v>537</v>
      </c>
      <c r="B427" s="40" t="n">
        <v>46239</v>
      </c>
      <c r="C427" s="39" t="s">
        <v>101</v>
      </c>
      <c r="D427" s="39" t="s">
        <v>33</v>
      </c>
      <c r="E427" s="39" t="s">
        <v>136</v>
      </c>
      <c r="F427" s="39" t="n">
        <v>2</v>
      </c>
      <c r="G427" s="41" t="n">
        <v>428</v>
      </c>
      <c r="H427" s="42" t="n">
        <f aca="false">F427*G427</f>
        <v>856</v>
      </c>
      <c r="I427" s="39" t="s">
        <v>36</v>
      </c>
      <c r="J427" s="39" t="s">
        <v>42</v>
      </c>
      <c r="K427" s="39" t="n">
        <v>5</v>
      </c>
    </row>
    <row r="428" customFormat="false" ht="15" hidden="false" customHeight="false" outlineLevel="0" collapsed="false">
      <c r="A428" s="39" t="s">
        <v>538</v>
      </c>
      <c r="B428" s="40" t="n">
        <v>46239</v>
      </c>
      <c r="C428" s="39" t="s">
        <v>49</v>
      </c>
      <c r="D428" s="39" t="s">
        <v>37</v>
      </c>
      <c r="E428" s="39" t="s">
        <v>131</v>
      </c>
      <c r="F428" s="39" t="n">
        <v>1</v>
      </c>
      <c r="G428" s="41" t="n">
        <v>548</v>
      </c>
      <c r="H428" s="42" t="n">
        <f aca="false">F428*G428</f>
        <v>548</v>
      </c>
      <c r="I428" s="39" t="s">
        <v>36</v>
      </c>
      <c r="J428" s="39" t="s">
        <v>42</v>
      </c>
      <c r="K428" s="39" t="n">
        <v>4</v>
      </c>
    </row>
    <row r="429" customFormat="false" ht="15" hidden="false" customHeight="false" outlineLevel="0" collapsed="false">
      <c r="A429" s="39" t="s">
        <v>539</v>
      </c>
      <c r="B429" s="40" t="n">
        <v>46240</v>
      </c>
      <c r="C429" s="39" t="s">
        <v>48</v>
      </c>
      <c r="D429" s="39" t="s">
        <v>38</v>
      </c>
      <c r="E429" s="39" t="s">
        <v>110</v>
      </c>
      <c r="F429" s="39" t="n">
        <v>3</v>
      </c>
      <c r="G429" s="41" t="n">
        <v>388</v>
      </c>
      <c r="H429" s="42" t="n">
        <f aca="false">F429*G429</f>
        <v>1164</v>
      </c>
      <c r="I429" s="39" t="s">
        <v>34</v>
      </c>
      <c r="J429" s="39" t="s">
        <v>42</v>
      </c>
      <c r="K429" s="39" t="n">
        <v>3</v>
      </c>
    </row>
    <row r="430" customFormat="false" ht="15" hidden="false" customHeight="false" outlineLevel="0" collapsed="false">
      <c r="A430" s="39" t="s">
        <v>540</v>
      </c>
      <c r="B430" s="40" t="n">
        <v>46240</v>
      </c>
      <c r="C430" s="39" t="s">
        <v>109</v>
      </c>
      <c r="D430" s="39" t="s">
        <v>39</v>
      </c>
      <c r="E430" s="39" t="s">
        <v>99</v>
      </c>
      <c r="F430" s="39" t="n">
        <v>3</v>
      </c>
      <c r="G430" s="41" t="n">
        <v>958</v>
      </c>
      <c r="H430" s="42" t="n">
        <f aca="false">F430*G430</f>
        <v>2874</v>
      </c>
      <c r="I430" s="39" t="s">
        <v>34</v>
      </c>
      <c r="J430" s="39" t="s">
        <v>42</v>
      </c>
      <c r="K430" s="39" t="n">
        <v>4</v>
      </c>
    </row>
    <row r="431" customFormat="false" ht="15" hidden="false" customHeight="false" outlineLevel="0" collapsed="false">
      <c r="A431" s="39" t="s">
        <v>541</v>
      </c>
      <c r="B431" s="40" t="n">
        <v>46240</v>
      </c>
      <c r="C431" s="39" t="s">
        <v>52</v>
      </c>
      <c r="D431" s="39" t="s">
        <v>35</v>
      </c>
      <c r="E431" s="39" t="s">
        <v>125</v>
      </c>
      <c r="F431" s="39" t="n">
        <v>1</v>
      </c>
      <c r="G431" s="41" t="n">
        <v>788</v>
      </c>
      <c r="H431" s="42" t="n">
        <f aca="false">F431*G431</f>
        <v>788</v>
      </c>
      <c r="I431" s="39" t="s">
        <v>34</v>
      </c>
      <c r="J431" s="39" t="s">
        <v>43</v>
      </c>
      <c r="K431" s="39" t="n">
        <v>6</v>
      </c>
    </row>
    <row r="432" customFormat="false" ht="15" hidden="false" customHeight="false" outlineLevel="0" collapsed="false">
      <c r="A432" s="39" t="s">
        <v>542</v>
      </c>
      <c r="B432" s="40" t="n">
        <v>46240</v>
      </c>
      <c r="C432" s="39" t="s">
        <v>51</v>
      </c>
      <c r="D432" s="39" t="s">
        <v>33</v>
      </c>
      <c r="E432" s="39" t="s">
        <v>114</v>
      </c>
      <c r="F432" s="39" t="n">
        <v>1</v>
      </c>
      <c r="G432" s="41" t="n">
        <v>798</v>
      </c>
      <c r="H432" s="42" t="n">
        <f aca="false">F432*G432</f>
        <v>798</v>
      </c>
      <c r="I432" s="39" t="s">
        <v>34</v>
      </c>
      <c r="J432" s="39" t="s">
        <v>42</v>
      </c>
      <c r="K432" s="39" t="n">
        <v>2</v>
      </c>
    </row>
    <row r="433" customFormat="false" ht="15" hidden="false" customHeight="false" outlineLevel="0" collapsed="false">
      <c r="A433" s="39" t="s">
        <v>543</v>
      </c>
      <c r="B433" s="40" t="n">
        <v>46240</v>
      </c>
      <c r="C433" s="39" t="s">
        <v>48</v>
      </c>
      <c r="D433" s="39" t="s">
        <v>38</v>
      </c>
      <c r="E433" s="39" t="s">
        <v>107</v>
      </c>
      <c r="F433" s="39" t="n">
        <v>1</v>
      </c>
      <c r="G433" s="41" t="n">
        <v>438</v>
      </c>
      <c r="H433" s="42" t="n">
        <f aca="false">F433*G433</f>
        <v>438</v>
      </c>
      <c r="I433" s="39" t="s">
        <v>34</v>
      </c>
      <c r="J433" s="39" t="s">
        <v>42</v>
      </c>
      <c r="K433" s="39" t="n">
        <v>5</v>
      </c>
    </row>
    <row r="434" customFormat="false" ht="15" hidden="false" customHeight="false" outlineLevel="0" collapsed="false">
      <c r="A434" s="39" t="s">
        <v>544</v>
      </c>
      <c r="B434" s="40" t="n">
        <v>46240</v>
      </c>
      <c r="C434" s="39" t="s">
        <v>49</v>
      </c>
      <c r="D434" s="39" t="s">
        <v>38</v>
      </c>
      <c r="E434" s="39" t="s">
        <v>121</v>
      </c>
      <c r="F434" s="39" t="n">
        <v>1</v>
      </c>
      <c r="G434" s="41" t="n">
        <v>838</v>
      </c>
      <c r="H434" s="42" t="n">
        <f aca="false">F434*G434</f>
        <v>838</v>
      </c>
      <c r="I434" s="39" t="s">
        <v>34</v>
      </c>
      <c r="J434" s="39" t="s">
        <v>43</v>
      </c>
      <c r="K434" s="39" t="n">
        <v>4</v>
      </c>
    </row>
    <row r="435" customFormat="false" ht="15" hidden="false" customHeight="false" outlineLevel="0" collapsed="false">
      <c r="A435" s="39" t="s">
        <v>545</v>
      </c>
      <c r="B435" s="40" t="n">
        <v>46240</v>
      </c>
      <c r="C435" s="39" t="s">
        <v>49</v>
      </c>
      <c r="D435" s="39" t="s">
        <v>39</v>
      </c>
      <c r="E435" s="39" t="s">
        <v>99</v>
      </c>
      <c r="F435" s="39" t="n">
        <v>1</v>
      </c>
      <c r="G435" s="41" t="n">
        <v>618</v>
      </c>
      <c r="H435" s="42" t="n">
        <f aca="false">F435*G435</f>
        <v>618</v>
      </c>
      <c r="I435" s="39" t="s">
        <v>34</v>
      </c>
      <c r="J435" s="39" t="s">
        <v>42</v>
      </c>
      <c r="K435" s="39" t="n">
        <v>5</v>
      </c>
    </row>
    <row r="436" customFormat="false" ht="15" hidden="false" customHeight="false" outlineLevel="0" collapsed="false">
      <c r="A436" s="39" t="s">
        <v>546</v>
      </c>
      <c r="B436" s="40" t="n">
        <v>46240</v>
      </c>
      <c r="C436" s="39" t="s">
        <v>53</v>
      </c>
      <c r="D436" s="39" t="s">
        <v>38</v>
      </c>
      <c r="E436" s="39" t="s">
        <v>110</v>
      </c>
      <c r="F436" s="39" t="n">
        <v>2</v>
      </c>
      <c r="G436" s="41" t="n">
        <v>538</v>
      </c>
      <c r="H436" s="42" t="n">
        <f aca="false">F436*G436</f>
        <v>1076</v>
      </c>
      <c r="I436" s="39" t="s">
        <v>34</v>
      </c>
      <c r="J436" s="39" t="s">
        <v>42</v>
      </c>
      <c r="K436" s="39" t="n">
        <v>3</v>
      </c>
    </row>
    <row r="437" customFormat="false" ht="15" hidden="false" customHeight="false" outlineLevel="0" collapsed="false">
      <c r="A437" s="39" t="s">
        <v>547</v>
      </c>
      <c r="B437" s="40" t="n">
        <v>46240</v>
      </c>
      <c r="C437" s="39" t="s">
        <v>51</v>
      </c>
      <c r="D437" s="39" t="s">
        <v>33</v>
      </c>
      <c r="E437" s="39" t="s">
        <v>114</v>
      </c>
      <c r="F437" s="39" t="n">
        <v>1</v>
      </c>
      <c r="G437" s="41" t="n">
        <v>658</v>
      </c>
      <c r="H437" s="42" t="n">
        <f aca="false">F437*G437</f>
        <v>658</v>
      </c>
      <c r="I437" s="39" t="s">
        <v>34</v>
      </c>
      <c r="J437" s="39" t="s">
        <v>42</v>
      </c>
      <c r="K437" s="39" t="n">
        <v>2</v>
      </c>
    </row>
    <row r="438" customFormat="false" ht="15" hidden="false" customHeight="false" outlineLevel="0" collapsed="false">
      <c r="A438" s="39" t="s">
        <v>548</v>
      </c>
      <c r="B438" s="40" t="n">
        <v>46240</v>
      </c>
      <c r="C438" s="39" t="s">
        <v>51</v>
      </c>
      <c r="D438" s="39" t="s">
        <v>37</v>
      </c>
      <c r="E438" s="39" t="s">
        <v>131</v>
      </c>
      <c r="F438" s="39" t="n">
        <v>1</v>
      </c>
      <c r="G438" s="41" t="n">
        <v>568</v>
      </c>
      <c r="H438" s="42" t="n">
        <f aca="false">F438*G438</f>
        <v>568</v>
      </c>
      <c r="I438" s="39" t="s">
        <v>34</v>
      </c>
      <c r="J438" s="39" t="s">
        <v>42</v>
      </c>
      <c r="K438" s="39" t="n">
        <v>4</v>
      </c>
    </row>
    <row r="439" customFormat="false" ht="15" hidden="false" customHeight="false" outlineLevel="0" collapsed="false">
      <c r="A439" s="39" t="s">
        <v>549</v>
      </c>
      <c r="B439" s="40" t="n">
        <v>46240</v>
      </c>
      <c r="C439" s="39" t="s">
        <v>52</v>
      </c>
      <c r="D439" s="39" t="s">
        <v>33</v>
      </c>
      <c r="E439" s="39" t="s">
        <v>114</v>
      </c>
      <c r="F439" s="39" t="n">
        <v>2</v>
      </c>
      <c r="G439" s="41" t="n">
        <v>418</v>
      </c>
      <c r="H439" s="42" t="n">
        <f aca="false">F439*G439</f>
        <v>836</v>
      </c>
      <c r="I439" s="39" t="s">
        <v>34</v>
      </c>
      <c r="J439" s="39" t="s">
        <v>42</v>
      </c>
      <c r="K439" s="39" t="n">
        <v>4</v>
      </c>
    </row>
    <row r="440" customFormat="false" ht="15" hidden="false" customHeight="false" outlineLevel="0" collapsed="false">
      <c r="A440" s="39" t="s">
        <v>550</v>
      </c>
      <c r="B440" s="40" t="n">
        <v>46241</v>
      </c>
      <c r="C440" s="39" t="s">
        <v>101</v>
      </c>
      <c r="D440" s="39" t="s">
        <v>33</v>
      </c>
      <c r="E440" s="39" t="s">
        <v>136</v>
      </c>
      <c r="F440" s="39" t="n">
        <v>1</v>
      </c>
      <c r="G440" s="41" t="n">
        <v>338</v>
      </c>
      <c r="H440" s="42" t="n">
        <f aca="false">F440*G440</f>
        <v>338</v>
      </c>
      <c r="I440" s="39" t="s">
        <v>36</v>
      </c>
      <c r="J440" s="39" t="s">
        <v>42</v>
      </c>
      <c r="K440" s="39" t="n">
        <v>3</v>
      </c>
    </row>
    <row r="441" customFormat="false" ht="15" hidden="false" customHeight="false" outlineLevel="0" collapsed="false">
      <c r="A441" s="39" t="s">
        <v>551</v>
      </c>
      <c r="B441" s="40" t="n">
        <v>46241</v>
      </c>
      <c r="C441" s="39" t="s">
        <v>101</v>
      </c>
      <c r="D441" s="39" t="s">
        <v>38</v>
      </c>
      <c r="E441" s="39" t="s">
        <v>121</v>
      </c>
      <c r="F441" s="39" t="n">
        <v>1</v>
      </c>
      <c r="G441" s="41" t="n">
        <v>418</v>
      </c>
      <c r="H441" s="42" t="n">
        <f aca="false">F441*G441</f>
        <v>418</v>
      </c>
      <c r="I441" s="39" t="s">
        <v>34</v>
      </c>
      <c r="J441" s="39" t="s">
        <v>42</v>
      </c>
      <c r="K441" s="39" t="n">
        <v>3</v>
      </c>
    </row>
    <row r="442" customFormat="false" ht="15" hidden="false" customHeight="false" outlineLevel="0" collapsed="false">
      <c r="A442" s="39" t="s">
        <v>552</v>
      </c>
      <c r="B442" s="40" t="n">
        <v>46241</v>
      </c>
      <c r="C442" s="39" t="s">
        <v>49</v>
      </c>
      <c r="D442" s="39" t="s">
        <v>35</v>
      </c>
      <c r="E442" s="39" t="s">
        <v>125</v>
      </c>
      <c r="F442" s="39" t="n">
        <v>1</v>
      </c>
      <c r="G442" s="41" t="n">
        <v>278</v>
      </c>
      <c r="H442" s="42" t="n">
        <f aca="false">F442*G442</f>
        <v>278</v>
      </c>
      <c r="I442" s="39" t="s">
        <v>34</v>
      </c>
      <c r="J442" s="39" t="s">
        <v>42</v>
      </c>
      <c r="K442" s="39" t="n">
        <v>3</v>
      </c>
    </row>
    <row r="443" customFormat="false" ht="15" hidden="false" customHeight="false" outlineLevel="0" collapsed="false">
      <c r="A443" s="39" t="s">
        <v>553</v>
      </c>
      <c r="B443" s="40" t="n">
        <v>46241</v>
      </c>
      <c r="C443" s="39" t="s">
        <v>52</v>
      </c>
      <c r="D443" s="39" t="s">
        <v>35</v>
      </c>
      <c r="E443" s="39" t="s">
        <v>159</v>
      </c>
      <c r="F443" s="39" t="n">
        <v>2</v>
      </c>
      <c r="G443" s="41" t="n">
        <v>748</v>
      </c>
      <c r="H443" s="42" t="n">
        <f aca="false">F443*G443</f>
        <v>1496</v>
      </c>
      <c r="I443" s="39" t="s">
        <v>36</v>
      </c>
      <c r="J443" s="39" t="s">
        <v>42</v>
      </c>
      <c r="K443" s="39" t="n">
        <v>2</v>
      </c>
    </row>
    <row r="444" customFormat="false" ht="15" hidden="false" customHeight="false" outlineLevel="0" collapsed="false">
      <c r="A444" s="39" t="s">
        <v>554</v>
      </c>
      <c r="B444" s="40" t="n">
        <v>46241</v>
      </c>
      <c r="C444" s="39" t="s">
        <v>51</v>
      </c>
      <c r="D444" s="39" t="s">
        <v>33</v>
      </c>
      <c r="E444" s="39" t="s">
        <v>136</v>
      </c>
      <c r="F444" s="39" t="n">
        <v>1</v>
      </c>
      <c r="G444" s="41" t="n">
        <v>638</v>
      </c>
      <c r="H444" s="42" t="n">
        <f aca="false">F444*G444</f>
        <v>638</v>
      </c>
      <c r="I444" s="39" t="s">
        <v>34</v>
      </c>
      <c r="J444" s="39" t="s">
        <v>42</v>
      </c>
      <c r="K444" s="39" t="n">
        <v>3</v>
      </c>
    </row>
    <row r="445" customFormat="false" ht="15" hidden="false" customHeight="false" outlineLevel="0" collapsed="false">
      <c r="A445" s="39" t="s">
        <v>555</v>
      </c>
      <c r="B445" s="40" t="n">
        <v>46241</v>
      </c>
      <c r="C445" s="39" t="s">
        <v>50</v>
      </c>
      <c r="D445" s="39" t="s">
        <v>35</v>
      </c>
      <c r="E445" s="39" t="s">
        <v>95</v>
      </c>
      <c r="F445" s="39" t="n">
        <v>2</v>
      </c>
      <c r="G445" s="41" t="n">
        <v>548</v>
      </c>
      <c r="H445" s="42" t="n">
        <f aca="false">F445*G445</f>
        <v>1096</v>
      </c>
      <c r="I445" s="39" t="s">
        <v>34</v>
      </c>
      <c r="J445" s="39" t="s">
        <v>42</v>
      </c>
      <c r="K445" s="39" t="n">
        <v>3</v>
      </c>
    </row>
    <row r="446" customFormat="false" ht="15" hidden="false" customHeight="false" outlineLevel="0" collapsed="false">
      <c r="A446" s="39" t="s">
        <v>556</v>
      </c>
      <c r="B446" s="40" t="n">
        <v>46241</v>
      </c>
      <c r="C446" s="39" t="s">
        <v>51</v>
      </c>
      <c r="D446" s="39" t="s">
        <v>37</v>
      </c>
      <c r="E446" s="39" t="s">
        <v>141</v>
      </c>
      <c r="F446" s="39" t="n">
        <v>2</v>
      </c>
      <c r="G446" s="41" t="n">
        <v>258</v>
      </c>
      <c r="H446" s="42" t="n">
        <f aca="false">F446*G446</f>
        <v>516</v>
      </c>
      <c r="I446" s="39" t="s">
        <v>34</v>
      </c>
      <c r="J446" s="39" t="s">
        <v>42</v>
      </c>
      <c r="K446" s="39" t="n">
        <v>3</v>
      </c>
    </row>
    <row r="447" customFormat="false" ht="15" hidden="false" customHeight="false" outlineLevel="0" collapsed="false">
      <c r="A447" s="39" t="s">
        <v>557</v>
      </c>
      <c r="B447" s="40" t="n">
        <v>46241</v>
      </c>
      <c r="C447" s="39" t="s">
        <v>49</v>
      </c>
      <c r="D447" s="39" t="s">
        <v>33</v>
      </c>
      <c r="E447" s="39" t="s">
        <v>117</v>
      </c>
      <c r="F447" s="39" t="n">
        <v>2</v>
      </c>
      <c r="G447" s="41" t="n">
        <v>858</v>
      </c>
      <c r="H447" s="42" t="n">
        <f aca="false">F447*G447</f>
        <v>1716</v>
      </c>
      <c r="I447" s="39" t="s">
        <v>36</v>
      </c>
      <c r="J447" s="39" t="s">
        <v>47</v>
      </c>
      <c r="K447" s="39"/>
    </row>
    <row r="448" customFormat="false" ht="15" hidden="false" customHeight="false" outlineLevel="0" collapsed="false">
      <c r="A448" s="39" t="s">
        <v>558</v>
      </c>
      <c r="B448" s="40" t="n">
        <v>46241</v>
      </c>
      <c r="C448" s="39" t="s">
        <v>51</v>
      </c>
      <c r="D448" s="39" t="s">
        <v>33</v>
      </c>
      <c r="E448" s="39" t="s">
        <v>136</v>
      </c>
      <c r="F448" s="39" t="n">
        <v>1</v>
      </c>
      <c r="G448" s="41" t="n">
        <v>818</v>
      </c>
      <c r="H448" s="42" t="n">
        <f aca="false">F448*G448</f>
        <v>818</v>
      </c>
      <c r="I448" s="39" t="s">
        <v>34</v>
      </c>
      <c r="J448" s="39" t="s">
        <v>42</v>
      </c>
      <c r="K448" s="39" t="n">
        <v>6</v>
      </c>
    </row>
    <row r="449" customFormat="false" ht="15" hidden="false" customHeight="false" outlineLevel="0" collapsed="false">
      <c r="A449" s="39" t="s">
        <v>559</v>
      </c>
      <c r="B449" s="40" t="n">
        <v>46241</v>
      </c>
      <c r="C449" s="39" t="s">
        <v>52</v>
      </c>
      <c r="D449" s="39" t="s">
        <v>33</v>
      </c>
      <c r="E449" s="39" t="s">
        <v>102</v>
      </c>
      <c r="F449" s="39" t="n">
        <v>1</v>
      </c>
      <c r="G449" s="41" t="n">
        <v>358</v>
      </c>
      <c r="H449" s="42" t="n">
        <f aca="false">F449*G449</f>
        <v>358</v>
      </c>
      <c r="I449" s="39" t="s">
        <v>36</v>
      </c>
      <c r="J449" s="39" t="s">
        <v>42</v>
      </c>
      <c r="K449" s="39" t="n">
        <v>5</v>
      </c>
    </row>
    <row r="450" customFormat="false" ht="15" hidden="false" customHeight="false" outlineLevel="0" collapsed="false">
      <c r="A450" s="39" t="s">
        <v>560</v>
      </c>
      <c r="B450" s="40" t="n">
        <v>46241</v>
      </c>
      <c r="C450" s="39" t="s">
        <v>50</v>
      </c>
      <c r="D450" s="39" t="s">
        <v>37</v>
      </c>
      <c r="E450" s="39" t="s">
        <v>141</v>
      </c>
      <c r="F450" s="39" t="n">
        <v>1</v>
      </c>
      <c r="G450" s="41" t="n">
        <v>548</v>
      </c>
      <c r="H450" s="42" t="n">
        <f aca="false">F450*G450</f>
        <v>548</v>
      </c>
      <c r="I450" s="39" t="s">
        <v>36</v>
      </c>
      <c r="J450" s="39" t="s">
        <v>47</v>
      </c>
      <c r="K450" s="39"/>
    </row>
    <row r="451" customFormat="false" ht="15" hidden="false" customHeight="false" outlineLevel="0" collapsed="false">
      <c r="A451" s="39" t="s">
        <v>561</v>
      </c>
      <c r="B451" s="40" t="n">
        <v>46242</v>
      </c>
      <c r="C451" s="39" t="s">
        <v>101</v>
      </c>
      <c r="D451" s="39" t="s">
        <v>35</v>
      </c>
      <c r="E451" s="39" t="s">
        <v>159</v>
      </c>
      <c r="F451" s="39" t="n">
        <v>1</v>
      </c>
      <c r="G451" s="41" t="n">
        <v>568</v>
      </c>
      <c r="H451" s="42" t="n">
        <f aca="false">F451*G451</f>
        <v>568</v>
      </c>
      <c r="I451" s="39" t="s">
        <v>34</v>
      </c>
      <c r="J451" s="39" t="s">
        <v>42</v>
      </c>
      <c r="K451" s="39" t="n">
        <v>3</v>
      </c>
    </row>
    <row r="452" customFormat="false" ht="15" hidden="false" customHeight="false" outlineLevel="0" collapsed="false">
      <c r="A452" s="39" t="s">
        <v>562</v>
      </c>
      <c r="B452" s="40" t="n">
        <v>46242</v>
      </c>
      <c r="C452" s="39" t="s">
        <v>50</v>
      </c>
      <c r="D452" s="39" t="s">
        <v>37</v>
      </c>
      <c r="E452" s="39" t="s">
        <v>131</v>
      </c>
      <c r="F452" s="39" t="n">
        <v>1</v>
      </c>
      <c r="G452" s="41" t="n">
        <v>598</v>
      </c>
      <c r="H452" s="42" t="n">
        <f aca="false">F452*G452</f>
        <v>598</v>
      </c>
      <c r="I452" s="39" t="s">
        <v>34</v>
      </c>
      <c r="J452" s="39" t="s">
        <v>42</v>
      </c>
      <c r="K452" s="39" t="n">
        <v>5</v>
      </c>
    </row>
    <row r="453" customFormat="false" ht="15" hidden="false" customHeight="false" outlineLevel="0" collapsed="false">
      <c r="A453" s="39" t="s">
        <v>563</v>
      </c>
      <c r="B453" s="40" t="n">
        <v>46242</v>
      </c>
      <c r="C453" s="39" t="s">
        <v>53</v>
      </c>
      <c r="D453" s="39" t="s">
        <v>38</v>
      </c>
      <c r="E453" s="39" t="s">
        <v>121</v>
      </c>
      <c r="F453" s="39" t="n">
        <v>1</v>
      </c>
      <c r="G453" s="41" t="n">
        <v>398</v>
      </c>
      <c r="H453" s="42" t="n">
        <f aca="false">F453*G453</f>
        <v>398</v>
      </c>
      <c r="I453" s="39" t="s">
        <v>34</v>
      </c>
      <c r="J453" s="39" t="s">
        <v>42</v>
      </c>
      <c r="K453" s="39" t="n">
        <v>2</v>
      </c>
    </row>
    <row r="454" customFormat="false" ht="15" hidden="false" customHeight="false" outlineLevel="0" collapsed="false">
      <c r="A454" s="39" t="s">
        <v>564</v>
      </c>
      <c r="B454" s="40" t="n">
        <v>46242</v>
      </c>
      <c r="C454" s="39" t="s">
        <v>49</v>
      </c>
      <c r="D454" s="39" t="s">
        <v>33</v>
      </c>
      <c r="E454" s="39" t="s">
        <v>102</v>
      </c>
      <c r="F454" s="39" t="n">
        <v>1</v>
      </c>
      <c r="G454" s="41" t="n">
        <v>838</v>
      </c>
      <c r="H454" s="42" t="n">
        <f aca="false">F454*G454</f>
        <v>838</v>
      </c>
      <c r="I454" s="39" t="s">
        <v>34</v>
      </c>
      <c r="J454" s="39" t="s">
        <v>42</v>
      </c>
      <c r="K454" s="39" t="n">
        <v>5</v>
      </c>
    </row>
    <row r="455" customFormat="false" ht="15" hidden="false" customHeight="false" outlineLevel="0" collapsed="false">
      <c r="A455" s="39" t="s">
        <v>565</v>
      </c>
      <c r="B455" s="40" t="n">
        <v>46242</v>
      </c>
      <c r="C455" s="39" t="s">
        <v>49</v>
      </c>
      <c r="D455" s="39" t="s">
        <v>38</v>
      </c>
      <c r="E455" s="39" t="s">
        <v>110</v>
      </c>
      <c r="F455" s="39" t="n">
        <v>1</v>
      </c>
      <c r="G455" s="41" t="n">
        <v>548</v>
      </c>
      <c r="H455" s="42" t="n">
        <f aca="false">F455*G455</f>
        <v>548</v>
      </c>
      <c r="I455" s="39" t="s">
        <v>34</v>
      </c>
      <c r="J455" s="39" t="s">
        <v>42</v>
      </c>
      <c r="K455" s="39" t="n">
        <v>3</v>
      </c>
    </row>
    <row r="456" customFormat="false" ht="15" hidden="false" customHeight="false" outlineLevel="0" collapsed="false">
      <c r="A456" s="39" t="s">
        <v>566</v>
      </c>
      <c r="B456" s="40" t="n">
        <v>46242</v>
      </c>
      <c r="C456" s="39" t="s">
        <v>101</v>
      </c>
      <c r="D456" s="39" t="s">
        <v>38</v>
      </c>
      <c r="E456" s="39" t="s">
        <v>121</v>
      </c>
      <c r="F456" s="39" t="n">
        <v>1</v>
      </c>
      <c r="G456" s="41" t="n">
        <v>758</v>
      </c>
      <c r="H456" s="42" t="n">
        <f aca="false">F456*G456</f>
        <v>758</v>
      </c>
      <c r="I456" s="39" t="s">
        <v>36</v>
      </c>
      <c r="J456" s="39" t="s">
        <v>47</v>
      </c>
      <c r="K456" s="39"/>
    </row>
    <row r="457" customFormat="false" ht="15" hidden="false" customHeight="false" outlineLevel="0" collapsed="false">
      <c r="A457" s="39" t="s">
        <v>567</v>
      </c>
      <c r="B457" s="40" t="n">
        <v>46242</v>
      </c>
      <c r="C457" s="39" t="s">
        <v>48</v>
      </c>
      <c r="D457" s="39" t="s">
        <v>35</v>
      </c>
      <c r="E457" s="39" t="s">
        <v>159</v>
      </c>
      <c r="F457" s="39" t="n">
        <v>1</v>
      </c>
      <c r="G457" s="41" t="n">
        <v>418</v>
      </c>
      <c r="H457" s="42" t="n">
        <f aca="false">F457*G457</f>
        <v>418</v>
      </c>
      <c r="I457" s="39" t="s">
        <v>36</v>
      </c>
      <c r="J457" s="39" t="s">
        <v>42</v>
      </c>
      <c r="K457" s="39" t="n">
        <v>4</v>
      </c>
    </row>
    <row r="458" customFormat="false" ht="15" hidden="false" customHeight="false" outlineLevel="0" collapsed="false">
      <c r="A458" s="39" t="s">
        <v>568</v>
      </c>
      <c r="B458" s="40" t="n">
        <v>46242</v>
      </c>
      <c r="C458" s="39" t="s">
        <v>49</v>
      </c>
      <c r="D458" s="39" t="s">
        <v>33</v>
      </c>
      <c r="E458" s="39" t="s">
        <v>136</v>
      </c>
      <c r="F458" s="39" t="n">
        <v>2</v>
      </c>
      <c r="G458" s="41" t="n">
        <v>888</v>
      </c>
      <c r="H458" s="42" t="n">
        <f aca="false">F458*G458</f>
        <v>1776</v>
      </c>
      <c r="I458" s="39" t="s">
        <v>34</v>
      </c>
      <c r="J458" s="39" t="s">
        <v>42</v>
      </c>
      <c r="K458" s="39" t="n">
        <v>7</v>
      </c>
    </row>
    <row r="459" customFormat="false" ht="15" hidden="false" customHeight="false" outlineLevel="0" collapsed="false">
      <c r="A459" s="39" t="s">
        <v>569</v>
      </c>
      <c r="B459" s="40" t="n">
        <v>46242</v>
      </c>
      <c r="C459" s="39" t="s">
        <v>50</v>
      </c>
      <c r="D459" s="39" t="s">
        <v>38</v>
      </c>
      <c r="E459" s="39" t="s">
        <v>121</v>
      </c>
      <c r="F459" s="39" t="n">
        <v>1</v>
      </c>
      <c r="G459" s="41" t="n">
        <v>468</v>
      </c>
      <c r="H459" s="42" t="n">
        <f aca="false">F459*G459</f>
        <v>468</v>
      </c>
      <c r="I459" s="39" t="s">
        <v>34</v>
      </c>
      <c r="J459" s="39" t="s">
        <v>42</v>
      </c>
      <c r="K459" s="39" t="n">
        <v>5</v>
      </c>
    </row>
    <row r="460" customFormat="false" ht="15" hidden="false" customHeight="false" outlineLevel="0" collapsed="false">
      <c r="A460" s="39" t="s">
        <v>570</v>
      </c>
      <c r="B460" s="40" t="n">
        <v>46242</v>
      </c>
      <c r="C460" s="39" t="s">
        <v>53</v>
      </c>
      <c r="D460" s="39" t="s">
        <v>35</v>
      </c>
      <c r="E460" s="39" t="s">
        <v>125</v>
      </c>
      <c r="F460" s="39" t="n">
        <v>1</v>
      </c>
      <c r="G460" s="41" t="n">
        <v>448</v>
      </c>
      <c r="H460" s="42" t="n">
        <f aca="false">F460*G460</f>
        <v>448</v>
      </c>
      <c r="I460" s="39" t="s">
        <v>34</v>
      </c>
      <c r="J460" s="39" t="s">
        <v>42</v>
      </c>
      <c r="K460" s="39" t="n">
        <v>4</v>
      </c>
    </row>
    <row r="461" customFormat="false" ht="15" hidden="false" customHeight="false" outlineLevel="0" collapsed="false">
      <c r="A461" s="39" t="s">
        <v>571</v>
      </c>
      <c r="B461" s="40" t="n">
        <v>46242</v>
      </c>
      <c r="C461" s="39" t="s">
        <v>52</v>
      </c>
      <c r="D461" s="39" t="s">
        <v>37</v>
      </c>
      <c r="E461" s="39" t="s">
        <v>131</v>
      </c>
      <c r="F461" s="39" t="n">
        <v>3</v>
      </c>
      <c r="G461" s="41" t="n">
        <v>618</v>
      </c>
      <c r="H461" s="42" t="n">
        <f aca="false">F461*G461</f>
        <v>1854</v>
      </c>
      <c r="I461" s="39" t="s">
        <v>36</v>
      </c>
      <c r="J461" s="39" t="s">
        <v>47</v>
      </c>
      <c r="K461" s="39"/>
    </row>
    <row r="462" customFormat="false" ht="15" hidden="false" customHeight="false" outlineLevel="0" collapsed="false">
      <c r="A462" s="39" t="s">
        <v>572</v>
      </c>
      <c r="B462" s="40" t="n">
        <v>46242</v>
      </c>
      <c r="C462" s="39" t="s">
        <v>101</v>
      </c>
      <c r="D462" s="39" t="s">
        <v>38</v>
      </c>
      <c r="E462" s="39" t="s">
        <v>107</v>
      </c>
      <c r="F462" s="39" t="n">
        <v>1</v>
      </c>
      <c r="G462" s="41" t="n">
        <v>638</v>
      </c>
      <c r="H462" s="42" t="n">
        <f aca="false">F462*G462</f>
        <v>638</v>
      </c>
      <c r="I462" s="39" t="s">
        <v>34</v>
      </c>
      <c r="J462" s="39" t="s">
        <v>43</v>
      </c>
      <c r="K462" s="39" t="n">
        <v>4</v>
      </c>
    </row>
    <row r="463" customFormat="false" ht="15" hidden="false" customHeight="false" outlineLevel="0" collapsed="false">
      <c r="A463" s="39" t="s">
        <v>573</v>
      </c>
      <c r="B463" s="40" t="n">
        <v>46242</v>
      </c>
      <c r="C463" s="39" t="s">
        <v>53</v>
      </c>
      <c r="D463" s="39" t="s">
        <v>33</v>
      </c>
      <c r="E463" s="39" t="s">
        <v>102</v>
      </c>
      <c r="F463" s="39" t="n">
        <v>1</v>
      </c>
      <c r="G463" s="41" t="n">
        <v>528</v>
      </c>
      <c r="H463" s="42" t="n">
        <f aca="false">F463*G463</f>
        <v>528</v>
      </c>
      <c r="I463" s="39" t="s">
        <v>34</v>
      </c>
      <c r="J463" s="39" t="s">
        <v>42</v>
      </c>
      <c r="K463" s="39" t="n">
        <v>2</v>
      </c>
    </row>
    <row r="464" customFormat="false" ht="15" hidden="false" customHeight="false" outlineLevel="0" collapsed="false">
      <c r="A464" s="39" t="s">
        <v>574</v>
      </c>
      <c r="B464" s="40" t="n">
        <v>46242</v>
      </c>
      <c r="C464" s="39" t="s">
        <v>109</v>
      </c>
      <c r="D464" s="39" t="s">
        <v>38</v>
      </c>
      <c r="E464" s="39" t="s">
        <v>121</v>
      </c>
      <c r="F464" s="39" t="n">
        <v>1</v>
      </c>
      <c r="G464" s="41" t="n">
        <v>568</v>
      </c>
      <c r="H464" s="42" t="n">
        <f aca="false">F464*G464</f>
        <v>568</v>
      </c>
      <c r="I464" s="39" t="s">
        <v>36</v>
      </c>
      <c r="J464" s="39" t="s">
        <v>42</v>
      </c>
      <c r="K464" s="39" t="n">
        <v>4</v>
      </c>
    </row>
    <row r="465" customFormat="false" ht="15" hidden="false" customHeight="false" outlineLevel="0" collapsed="false">
      <c r="A465" s="39" t="s">
        <v>575</v>
      </c>
      <c r="B465" s="40" t="n">
        <v>46242</v>
      </c>
      <c r="C465" s="39" t="s">
        <v>48</v>
      </c>
      <c r="D465" s="39" t="s">
        <v>33</v>
      </c>
      <c r="E465" s="39" t="s">
        <v>117</v>
      </c>
      <c r="F465" s="39" t="n">
        <v>1</v>
      </c>
      <c r="G465" s="41" t="n">
        <v>578</v>
      </c>
      <c r="H465" s="42" t="n">
        <f aca="false">F465*G465</f>
        <v>578</v>
      </c>
      <c r="I465" s="39" t="s">
        <v>34</v>
      </c>
      <c r="J465" s="39" t="s">
        <v>42</v>
      </c>
      <c r="K465" s="39" t="n">
        <v>3</v>
      </c>
    </row>
    <row r="466" customFormat="false" ht="15" hidden="false" customHeight="false" outlineLevel="0" collapsed="false">
      <c r="A466" s="39" t="s">
        <v>576</v>
      </c>
      <c r="B466" s="40" t="n">
        <v>46242</v>
      </c>
      <c r="C466" s="39" t="s">
        <v>49</v>
      </c>
      <c r="D466" s="39" t="s">
        <v>39</v>
      </c>
      <c r="E466" s="39" t="s">
        <v>105</v>
      </c>
      <c r="F466" s="39" t="n">
        <v>3</v>
      </c>
      <c r="G466" s="41" t="n">
        <v>1058</v>
      </c>
      <c r="H466" s="42" t="n">
        <f aca="false">F466*G466</f>
        <v>3174</v>
      </c>
      <c r="I466" s="39" t="s">
        <v>34</v>
      </c>
      <c r="J466" s="39" t="s">
        <v>42</v>
      </c>
      <c r="K466" s="39" t="n">
        <v>3</v>
      </c>
    </row>
    <row r="467" customFormat="false" ht="15" hidden="false" customHeight="false" outlineLevel="0" collapsed="false">
      <c r="A467" s="39" t="s">
        <v>577</v>
      </c>
      <c r="B467" s="40" t="n">
        <v>46242</v>
      </c>
      <c r="C467" s="39" t="s">
        <v>51</v>
      </c>
      <c r="D467" s="39" t="s">
        <v>33</v>
      </c>
      <c r="E467" s="39" t="s">
        <v>117</v>
      </c>
      <c r="F467" s="39" t="n">
        <v>1</v>
      </c>
      <c r="G467" s="41" t="n">
        <v>738</v>
      </c>
      <c r="H467" s="42" t="n">
        <f aca="false">F467*G467</f>
        <v>738</v>
      </c>
      <c r="I467" s="39" t="s">
        <v>34</v>
      </c>
      <c r="J467" s="39" t="s">
        <v>42</v>
      </c>
      <c r="K467" s="39" t="n">
        <v>5</v>
      </c>
    </row>
    <row r="468" customFormat="false" ht="15" hidden="false" customHeight="false" outlineLevel="0" collapsed="false">
      <c r="A468" s="39" t="s">
        <v>578</v>
      </c>
      <c r="B468" s="40" t="n">
        <v>46242</v>
      </c>
      <c r="C468" s="39" t="s">
        <v>50</v>
      </c>
      <c r="D468" s="39" t="s">
        <v>33</v>
      </c>
      <c r="E468" s="39" t="s">
        <v>117</v>
      </c>
      <c r="F468" s="39" t="n">
        <v>2</v>
      </c>
      <c r="G468" s="41" t="n">
        <v>888</v>
      </c>
      <c r="H468" s="42" t="n">
        <f aca="false">F468*G468</f>
        <v>1776</v>
      </c>
      <c r="I468" s="39" t="s">
        <v>34</v>
      </c>
      <c r="J468" s="39" t="s">
        <v>43</v>
      </c>
      <c r="K468" s="39" t="n">
        <v>3</v>
      </c>
    </row>
    <row r="469" customFormat="false" ht="15" hidden="false" customHeight="false" outlineLevel="0" collapsed="false">
      <c r="A469" s="39" t="s">
        <v>579</v>
      </c>
      <c r="B469" s="40" t="n">
        <v>46243</v>
      </c>
      <c r="C469" s="39" t="s">
        <v>109</v>
      </c>
      <c r="D469" s="39" t="s">
        <v>33</v>
      </c>
      <c r="E469" s="39" t="s">
        <v>117</v>
      </c>
      <c r="F469" s="39" t="n">
        <v>1</v>
      </c>
      <c r="G469" s="41" t="n">
        <v>568</v>
      </c>
      <c r="H469" s="42" t="n">
        <f aca="false">F469*G469</f>
        <v>568</v>
      </c>
      <c r="I469" s="39" t="s">
        <v>34</v>
      </c>
      <c r="J469" s="39" t="s">
        <v>42</v>
      </c>
      <c r="K469" s="39" t="n">
        <v>3</v>
      </c>
    </row>
    <row r="470" customFormat="false" ht="15" hidden="false" customHeight="false" outlineLevel="0" collapsed="false">
      <c r="A470" s="39" t="s">
        <v>580</v>
      </c>
      <c r="B470" s="40" t="n">
        <v>46243</v>
      </c>
      <c r="C470" s="39" t="s">
        <v>52</v>
      </c>
      <c r="D470" s="39" t="s">
        <v>38</v>
      </c>
      <c r="E470" s="39" t="s">
        <v>121</v>
      </c>
      <c r="F470" s="39" t="n">
        <v>1</v>
      </c>
      <c r="G470" s="41" t="n">
        <v>548</v>
      </c>
      <c r="H470" s="42" t="n">
        <f aca="false">F470*G470</f>
        <v>548</v>
      </c>
      <c r="I470" s="39" t="s">
        <v>34</v>
      </c>
      <c r="J470" s="39" t="s">
        <v>47</v>
      </c>
      <c r="K470" s="39"/>
    </row>
    <row r="471" customFormat="false" ht="15" hidden="false" customHeight="false" outlineLevel="0" collapsed="false">
      <c r="A471" s="39" t="s">
        <v>581</v>
      </c>
      <c r="B471" s="40" t="n">
        <v>46243</v>
      </c>
      <c r="C471" s="39" t="s">
        <v>48</v>
      </c>
      <c r="D471" s="39" t="s">
        <v>33</v>
      </c>
      <c r="E471" s="39" t="s">
        <v>117</v>
      </c>
      <c r="F471" s="39" t="n">
        <v>2</v>
      </c>
      <c r="G471" s="41" t="n">
        <v>478</v>
      </c>
      <c r="H471" s="42" t="n">
        <f aca="false">F471*G471</f>
        <v>956</v>
      </c>
      <c r="I471" s="39" t="s">
        <v>34</v>
      </c>
      <c r="J471" s="39" t="s">
        <v>42</v>
      </c>
      <c r="K471" s="39" t="n">
        <v>3</v>
      </c>
    </row>
    <row r="472" customFormat="false" ht="15" hidden="false" customHeight="false" outlineLevel="0" collapsed="false">
      <c r="A472" s="39" t="s">
        <v>582</v>
      </c>
      <c r="B472" s="40" t="n">
        <v>46243</v>
      </c>
      <c r="C472" s="39" t="s">
        <v>53</v>
      </c>
      <c r="D472" s="39" t="s">
        <v>37</v>
      </c>
      <c r="E472" s="39" t="s">
        <v>97</v>
      </c>
      <c r="F472" s="39" t="n">
        <v>2</v>
      </c>
      <c r="G472" s="41" t="n">
        <v>598</v>
      </c>
      <c r="H472" s="42" t="n">
        <f aca="false">F472*G472</f>
        <v>1196</v>
      </c>
      <c r="I472" s="39" t="s">
        <v>34</v>
      </c>
      <c r="J472" s="39" t="s">
        <v>42</v>
      </c>
      <c r="K472" s="39" t="n">
        <v>4</v>
      </c>
    </row>
    <row r="473" customFormat="false" ht="15" hidden="false" customHeight="false" outlineLevel="0" collapsed="false">
      <c r="A473" s="39" t="s">
        <v>583</v>
      </c>
      <c r="B473" s="40" t="n">
        <v>46243</v>
      </c>
      <c r="C473" s="39" t="s">
        <v>109</v>
      </c>
      <c r="D473" s="39" t="s">
        <v>35</v>
      </c>
      <c r="E473" s="39" t="s">
        <v>159</v>
      </c>
      <c r="F473" s="39" t="n">
        <v>1</v>
      </c>
      <c r="G473" s="41" t="n">
        <v>648</v>
      </c>
      <c r="H473" s="42" t="n">
        <f aca="false">F473*G473</f>
        <v>648</v>
      </c>
      <c r="I473" s="39" t="s">
        <v>36</v>
      </c>
      <c r="J473" s="39" t="s">
        <v>42</v>
      </c>
      <c r="K473" s="39" t="n">
        <v>5</v>
      </c>
    </row>
    <row r="474" customFormat="false" ht="15" hidden="false" customHeight="false" outlineLevel="0" collapsed="false">
      <c r="A474" s="39" t="s">
        <v>584</v>
      </c>
      <c r="B474" s="40" t="n">
        <v>46243</v>
      </c>
      <c r="C474" s="39" t="s">
        <v>48</v>
      </c>
      <c r="D474" s="39" t="s">
        <v>33</v>
      </c>
      <c r="E474" s="39" t="s">
        <v>114</v>
      </c>
      <c r="F474" s="39" t="n">
        <v>1</v>
      </c>
      <c r="G474" s="41" t="n">
        <v>748</v>
      </c>
      <c r="H474" s="42" t="n">
        <f aca="false">F474*G474</f>
        <v>748</v>
      </c>
      <c r="I474" s="39" t="s">
        <v>34</v>
      </c>
      <c r="J474" s="39" t="s">
        <v>42</v>
      </c>
      <c r="K474" s="39" t="n">
        <v>4</v>
      </c>
    </row>
    <row r="475" customFormat="false" ht="15" hidden="false" customHeight="false" outlineLevel="0" collapsed="false">
      <c r="A475" s="39" t="s">
        <v>585</v>
      </c>
      <c r="B475" s="40" t="n">
        <v>46243</v>
      </c>
      <c r="C475" s="39" t="s">
        <v>109</v>
      </c>
      <c r="D475" s="39" t="s">
        <v>35</v>
      </c>
      <c r="E475" s="39" t="s">
        <v>159</v>
      </c>
      <c r="F475" s="39" t="n">
        <v>1</v>
      </c>
      <c r="G475" s="41" t="n">
        <v>688</v>
      </c>
      <c r="H475" s="42" t="n">
        <f aca="false">F475*G475</f>
        <v>688</v>
      </c>
      <c r="I475" s="39" t="s">
        <v>36</v>
      </c>
      <c r="J475" s="39" t="s">
        <v>42</v>
      </c>
      <c r="K475" s="39" t="n">
        <v>4</v>
      </c>
    </row>
    <row r="476" customFormat="false" ht="15" hidden="false" customHeight="false" outlineLevel="0" collapsed="false">
      <c r="A476" s="39" t="s">
        <v>586</v>
      </c>
      <c r="B476" s="40" t="n">
        <v>46243</v>
      </c>
      <c r="C476" s="39" t="s">
        <v>51</v>
      </c>
      <c r="D476" s="39" t="s">
        <v>35</v>
      </c>
      <c r="E476" s="39" t="s">
        <v>125</v>
      </c>
      <c r="F476" s="39" t="n">
        <v>1</v>
      </c>
      <c r="G476" s="41" t="n">
        <v>258</v>
      </c>
      <c r="H476" s="42" t="n">
        <f aca="false">F476*G476</f>
        <v>258</v>
      </c>
      <c r="I476" s="39" t="s">
        <v>36</v>
      </c>
      <c r="J476" s="39" t="s">
        <v>42</v>
      </c>
      <c r="K476" s="39" t="n">
        <v>3</v>
      </c>
    </row>
    <row r="477" customFormat="false" ht="15" hidden="false" customHeight="false" outlineLevel="0" collapsed="false">
      <c r="A477" s="39" t="s">
        <v>587</v>
      </c>
      <c r="B477" s="40" t="n">
        <v>46243</v>
      </c>
      <c r="C477" s="39" t="s">
        <v>53</v>
      </c>
      <c r="D477" s="39" t="s">
        <v>37</v>
      </c>
      <c r="E477" s="39" t="s">
        <v>97</v>
      </c>
      <c r="F477" s="39" t="n">
        <v>3</v>
      </c>
      <c r="G477" s="41" t="n">
        <v>518</v>
      </c>
      <c r="H477" s="42" t="n">
        <f aca="false">F477*G477</f>
        <v>1554</v>
      </c>
      <c r="I477" s="39" t="s">
        <v>34</v>
      </c>
      <c r="J477" s="39" t="s">
        <v>42</v>
      </c>
      <c r="K477" s="39" t="n">
        <v>4</v>
      </c>
    </row>
    <row r="478" customFormat="false" ht="15" hidden="false" customHeight="false" outlineLevel="0" collapsed="false">
      <c r="A478" s="39" t="s">
        <v>588</v>
      </c>
      <c r="B478" s="40" t="n">
        <v>46243</v>
      </c>
      <c r="C478" s="39" t="s">
        <v>109</v>
      </c>
      <c r="D478" s="39" t="s">
        <v>38</v>
      </c>
      <c r="E478" s="39" t="s">
        <v>121</v>
      </c>
      <c r="F478" s="39" t="n">
        <v>1</v>
      </c>
      <c r="G478" s="41" t="n">
        <v>568</v>
      </c>
      <c r="H478" s="42" t="n">
        <f aca="false">F478*G478</f>
        <v>568</v>
      </c>
      <c r="I478" s="39" t="s">
        <v>34</v>
      </c>
      <c r="J478" s="39" t="s">
        <v>42</v>
      </c>
      <c r="K478" s="39" t="n">
        <v>3</v>
      </c>
    </row>
    <row r="479" customFormat="false" ht="15" hidden="false" customHeight="false" outlineLevel="0" collapsed="false">
      <c r="A479" s="39" t="s">
        <v>589</v>
      </c>
      <c r="B479" s="40" t="n">
        <v>46243</v>
      </c>
      <c r="C479" s="39" t="s">
        <v>53</v>
      </c>
      <c r="D479" s="39" t="s">
        <v>37</v>
      </c>
      <c r="E479" s="39" t="s">
        <v>131</v>
      </c>
      <c r="F479" s="39" t="n">
        <v>2</v>
      </c>
      <c r="G479" s="41" t="n">
        <v>498</v>
      </c>
      <c r="H479" s="42" t="n">
        <f aca="false">F479*G479</f>
        <v>996</v>
      </c>
      <c r="I479" s="39" t="s">
        <v>36</v>
      </c>
      <c r="J479" s="39" t="s">
        <v>42</v>
      </c>
      <c r="K479" s="39" t="n">
        <v>5</v>
      </c>
    </row>
    <row r="480" customFormat="false" ht="15" hidden="false" customHeight="false" outlineLevel="0" collapsed="false">
      <c r="A480" s="39" t="s">
        <v>590</v>
      </c>
      <c r="B480" s="40" t="n">
        <v>46243</v>
      </c>
      <c r="C480" s="39" t="s">
        <v>51</v>
      </c>
      <c r="D480" s="39" t="s">
        <v>33</v>
      </c>
      <c r="E480" s="39" t="s">
        <v>136</v>
      </c>
      <c r="F480" s="39" t="n">
        <v>2</v>
      </c>
      <c r="G480" s="41" t="n">
        <v>338</v>
      </c>
      <c r="H480" s="42" t="n">
        <f aca="false">F480*G480</f>
        <v>676</v>
      </c>
      <c r="I480" s="39" t="s">
        <v>34</v>
      </c>
      <c r="J480" s="39" t="s">
        <v>42</v>
      </c>
      <c r="K480" s="39" t="n">
        <v>4</v>
      </c>
    </row>
    <row r="481" customFormat="false" ht="15" hidden="false" customHeight="false" outlineLevel="0" collapsed="false">
      <c r="A481" s="39" t="s">
        <v>591</v>
      </c>
      <c r="B481" s="40" t="n">
        <v>46243</v>
      </c>
      <c r="C481" s="39" t="s">
        <v>50</v>
      </c>
      <c r="D481" s="39" t="s">
        <v>33</v>
      </c>
      <c r="E481" s="39" t="s">
        <v>114</v>
      </c>
      <c r="F481" s="39" t="n">
        <v>1</v>
      </c>
      <c r="G481" s="41" t="n">
        <v>508</v>
      </c>
      <c r="H481" s="42" t="n">
        <f aca="false">F481*G481</f>
        <v>508</v>
      </c>
      <c r="I481" s="39" t="s">
        <v>36</v>
      </c>
      <c r="J481" s="39" t="s">
        <v>42</v>
      </c>
      <c r="K481" s="39" t="n">
        <v>3</v>
      </c>
    </row>
    <row r="482" customFormat="false" ht="15" hidden="false" customHeight="false" outlineLevel="0" collapsed="false">
      <c r="A482" s="39" t="s">
        <v>592</v>
      </c>
      <c r="B482" s="40" t="n">
        <v>46243</v>
      </c>
      <c r="C482" s="39" t="s">
        <v>50</v>
      </c>
      <c r="D482" s="39" t="s">
        <v>33</v>
      </c>
      <c r="E482" s="39" t="s">
        <v>136</v>
      </c>
      <c r="F482" s="39" t="n">
        <v>1</v>
      </c>
      <c r="G482" s="41" t="n">
        <v>328</v>
      </c>
      <c r="H482" s="42" t="n">
        <f aca="false">F482*G482</f>
        <v>328</v>
      </c>
      <c r="I482" s="39" t="s">
        <v>34</v>
      </c>
      <c r="J482" s="39" t="s">
        <v>42</v>
      </c>
      <c r="K482" s="39" t="n">
        <v>6</v>
      </c>
    </row>
    <row r="483" customFormat="false" ht="15" hidden="false" customHeight="false" outlineLevel="0" collapsed="false">
      <c r="A483" s="39" t="s">
        <v>593</v>
      </c>
      <c r="B483" s="40" t="n">
        <v>46243</v>
      </c>
      <c r="C483" s="39" t="s">
        <v>51</v>
      </c>
      <c r="D483" s="39" t="s">
        <v>38</v>
      </c>
      <c r="E483" s="39" t="s">
        <v>107</v>
      </c>
      <c r="F483" s="39" t="n">
        <v>2</v>
      </c>
      <c r="G483" s="41" t="n">
        <v>578</v>
      </c>
      <c r="H483" s="42" t="n">
        <f aca="false">F483*G483</f>
        <v>1156</v>
      </c>
      <c r="I483" s="39" t="s">
        <v>34</v>
      </c>
      <c r="J483" s="39" t="s">
        <v>42</v>
      </c>
      <c r="K483" s="39" t="n">
        <v>3</v>
      </c>
    </row>
    <row r="484" customFormat="false" ht="15" hidden="false" customHeight="false" outlineLevel="0" collapsed="false">
      <c r="A484" s="39" t="s">
        <v>594</v>
      </c>
      <c r="B484" s="40" t="n">
        <v>46243</v>
      </c>
      <c r="C484" s="39" t="s">
        <v>101</v>
      </c>
      <c r="D484" s="39" t="s">
        <v>35</v>
      </c>
      <c r="E484" s="39" t="s">
        <v>95</v>
      </c>
      <c r="F484" s="39" t="n">
        <v>3</v>
      </c>
      <c r="G484" s="41" t="n">
        <v>478</v>
      </c>
      <c r="H484" s="42" t="n">
        <f aca="false">F484*G484</f>
        <v>1434</v>
      </c>
      <c r="I484" s="39" t="s">
        <v>34</v>
      </c>
      <c r="J484" s="39" t="s">
        <v>42</v>
      </c>
      <c r="K484" s="39" t="n">
        <v>2</v>
      </c>
    </row>
    <row r="485" customFormat="false" ht="15" hidden="false" customHeight="false" outlineLevel="0" collapsed="false">
      <c r="A485" s="39" t="s">
        <v>595</v>
      </c>
      <c r="B485" s="40" t="n">
        <v>46243</v>
      </c>
      <c r="C485" s="39" t="s">
        <v>51</v>
      </c>
      <c r="D485" s="39" t="s">
        <v>38</v>
      </c>
      <c r="E485" s="39" t="s">
        <v>107</v>
      </c>
      <c r="F485" s="39" t="n">
        <v>1</v>
      </c>
      <c r="G485" s="41" t="n">
        <v>368</v>
      </c>
      <c r="H485" s="42" t="n">
        <f aca="false">F485*G485</f>
        <v>368</v>
      </c>
      <c r="I485" s="39" t="s">
        <v>34</v>
      </c>
      <c r="J485" s="39" t="s">
        <v>43</v>
      </c>
      <c r="K485" s="39" t="n">
        <v>3</v>
      </c>
    </row>
    <row r="486" customFormat="false" ht="15" hidden="false" customHeight="false" outlineLevel="0" collapsed="false">
      <c r="A486" s="39" t="s">
        <v>596</v>
      </c>
      <c r="B486" s="40" t="n">
        <v>46244</v>
      </c>
      <c r="C486" s="39" t="s">
        <v>52</v>
      </c>
      <c r="D486" s="39" t="s">
        <v>39</v>
      </c>
      <c r="E486" s="39" t="s">
        <v>105</v>
      </c>
      <c r="F486" s="39" t="n">
        <v>1</v>
      </c>
      <c r="G486" s="41" t="n">
        <v>668</v>
      </c>
      <c r="H486" s="42" t="n">
        <f aca="false">F486*G486</f>
        <v>668</v>
      </c>
      <c r="I486" s="39" t="s">
        <v>34</v>
      </c>
      <c r="J486" s="39" t="s">
        <v>45</v>
      </c>
      <c r="K486" s="39"/>
    </row>
    <row r="487" customFormat="false" ht="15" hidden="false" customHeight="false" outlineLevel="0" collapsed="false">
      <c r="A487" s="39" t="s">
        <v>597</v>
      </c>
      <c r="B487" s="40" t="n">
        <v>46244</v>
      </c>
      <c r="C487" s="39" t="s">
        <v>48</v>
      </c>
      <c r="D487" s="39" t="s">
        <v>33</v>
      </c>
      <c r="E487" s="39" t="s">
        <v>114</v>
      </c>
      <c r="F487" s="39" t="n">
        <v>1</v>
      </c>
      <c r="G487" s="41" t="n">
        <v>338</v>
      </c>
      <c r="H487" s="42" t="n">
        <f aca="false">F487*G487</f>
        <v>338</v>
      </c>
      <c r="I487" s="39" t="s">
        <v>34</v>
      </c>
      <c r="J487" s="39" t="s">
        <v>42</v>
      </c>
      <c r="K487" s="39" t="n">
        <v>4</v>
      </c>
    </row>
    <row r="488" customFormat="false" ht="15" hidden="false" customHeight="false" outlineLevel="0" collapsed="false">
      <c r="A488" s="39" t="s">
        <v>598</v>
      </c>
      <c r="B488" s="40" t="n">
        <v>46244</v>
      </c>
      <c r="C488" s="39" t="s">
        <v>52</v>
      </c>
      <c r="D488" s="39" t="s">
        <v>37</v>
      </c>
      <c r="E488" s="39" t="s">
        <v>131</v>
      </c>
      <c r="F488" s="39" t="n">
        <v>3</v>
      </c>
      <c r="G488" s="41" t="n">
        <v>628</v>
      </c>
      <c r="H488" s="42" t="n">
        <f aca="false">F488*G488</f>
        <v>1884</v>
      </c>
      <c r="I488" s="39" t="s">
        <v>34</v>
      </c>
      <c r="J488" s="39" t="s">
        <v>42</v>
      </c>
      <c r="K488" s="39" t="n">
        <v>5</v>
      </c>
    </row>
    <row r="489" customFormat="false" ht="15" hidden="false" customHeight="false" outlineLevel="0" collapsed="false">
      <c r="A489" s="39" t="s">
        <v>599</v>
      </c>
      <c r="B489" s="40" t="n">
        <v>46244</v>
      </c>
      <c r="C489" s="39" t="s">
        <v>51</v>
      </c>
      <c r="D489" s="39" t="s">
        <v>37</v>
      </c>
      <c r="E489" s="39" t="s">
        <v>97</v>
      </c>
      <c r="F489" s="39" t="n">
        <v>1</v>
      </c>
      <c r="G489" s="41" t="n">
        <v>518</v>
      </c>
      <c r="H489" s="42" t="n">
        <f aca="false">F489*G489</f>
        <v>518</v>
      </c>
      <c r="I489" s="39" t="s">
        <v>34</v>
      </c>
      <c r="J489" s="39" t="s">
        <v>43</v>
      </c>
      <c r="K489" s="39" t="n">
        <v>3</v>
      </c>
    </row>
    <row r="490" customFormat="false" ht="15" hidden="false" customHeight="false" outlineLevel="0" collapsed="false">
      <c r="A490" s="39" t="s">
        <v>600</v>
      </c>
      <c r="B490" s="40" t="n">
        <v>46244</v>
      </c>
      <c r="C490" s="39" t="s">
        <v>49</v>
      </c>
      <c r="D490" s="39" t="s">
        <v>38</v>
      </c>
      <c r="E490" s="39" t="s">
        <v>121</v>
      </c>
      <c r="F490" s="39" t="n">
        <v>1</v>
      </c>
      <c r="G490" s="41" t="n">
        <v>468</v>
      </c>
      <c r="H490" s="42" t="n">
        <f aca="false">F490*G490</f>
        <v>468</v>
      </c>
      <c r="I490" s="39" t="s">
        <v>36</v>
      </c>
      <c r="J490" s="39" t="s">
        <v>42</v>
      </c>
      <c r="K490" s="39" t="n">
        <v>5</v>
      </c>
    </row>
    <row r="491" customFormat="false" ht="15" hidden="false" customHeight="false" outlineLevel="0" collapsed="false">
      <c r="A491" s="39" t="s">
        <v>601</v>
      </c>
      <c r="B491" s="40" t="n">
        <v>46244</v>
      </c>
      <c r="C491" s="39" t="s">
        <v>53</v>
      </c>
      <c r="D491" s="39" t="s">
        <v>33</v>
      </c>
      <c r="E491" s="39" t="s">
        <v>102</v>
      </c>
      <c r="F491" s="39" t="n">
        <v>1</v>
      </c>
      <c r="G491" s="41" t="n">
        <v>868</v>
      </c>
      <c r="H491" s="42" t="n">
        <f aca="false">F491*G491</f>
        <v>868</v>
      </c>
      <c r="I491" s="39" t="s">
        <v>36</v>
      </c>
      <c r="J491" s="39" t="s">
        <v>42</v>
      </c>
      <c r="K491" s="39" t="n">
        <v>5</v>
      </c>
    </row>
    <row r="492" customFormat="false" ht="15" hidden="false" customHeight="false" outlineLevel="0" collapsed="false">
      <c r="A492" s="39" t="s">
        <v>602</v>
      </c>
      <c r="B492" s="40" t="n">
        <v>46244</v>
      </c>
      <c r="C492" s="39" t="s">
        <v>48</v>
      </c>
      <c r="D492" s="39" t="s">
        <v>37</v>
      </c>
      <c r="E492" s="39" t="s">
        <v>131</v>
      </c>
      <c r="F492" s="39" t="n">
        <v>1</v>
      </c>
      <c r="G492" s="41" t="n">
        <v>358</v>
      </c>
      <c r="H492" s="42" t="n">
        <f aca="false">F492*G492</f>
        <v>358</v>
      </c>
      <c r="I492" s="39" t="s">
        <v>36</v>
      </c>
      <c r="J492" s="39" t="s">
        <v>42</v>
      </c>
      <c r="K492" s="39" t="n">
        <v>2</v>
      </c>
    </row>
    <row r="493" customFormat="false" ht="15" hidden="false" customHeight="false" outlineLevel="0" collapsed="false">
      <c r="A493" s="39" t="s">
        <v>603</v>
      </c>
      <c r="B493" s="40" t="n">
        <v>46244</v>
      </c>
      <c r="C493" s="39" t="s">
        <v>48</v>
      </c>
      <c r="D493" s="39" t="s">
        <v>39</v>
      </c>
      <c r="E493" s="39" t="s">
        <v>105</v>
      </c>
      <c r="F493" s="39" t="n">
        <v>1</v>
      </c>
      <c r="G493" s="41" t="n">
        <v>438</v>
      </c>
      <c r="H493" s="42" t="n">
        <f aca="false">F493*G493</f>
        <v>438</v>
      </c>
      <c r="I493" s="39" t="s">
        <v>36</v>
      </c>
      <c r="J493" s="39" t="s">
        <v>42</v>
      </c>
      <c r="K493" s="39" t="n">
        <v>4</v>
      </c>
    </row>
    <row r="494" customFormat="false" ht="15" hidden="false" customHeight="false" outlineLevel="0" collapsed="false">
      <c r="A494" s="39" t="s">
        <v>604</v>
      </c>
      <c r="B494" s="40" t="n">
        <v>46244</v>
      </c>
      <c r="C494" s="39" t="s">
        <v>49</v>
      </c>
      <c r="D494" s="39" t="s">
        <v>39</v>
      </c>
      <c r="E494" s="39" t="s">
        <v>129</v>
      </c>
      <c r="F494" s="39" t="n">
        <v>1</v>
      </c>
      <c r="G494" s="41" t="n">
        <v>1138</v>
      </c>
      <c r="H494" s="42" t="n">
        <f aca="false">F494*G494</f>
        <v>1138</v>
      </c>
      <c r="I494" s="39" t="s">
        <v>36</v>
      </c>
      <c r="J494" s="39" t="s">
        <v>45</v>
      </c>
      <c r="K494" s="39"/>
    </row>
    <row r="495" customFormat="false" ht="15" hidden="false" customHeight="false" outlineLevel="0" collapsed="false">
      <c r="A495" s="39" t="s">
        <v>605</v>
      </c>
      <c r="B495" s="40" t="n">
        <v>46244</v>
      </c>
      <c r="C495" s="39" t="s">
        <v>53</v>
      </c>
      <c r="D495" s="39" t="s">
        <v>33</v>
      </c>
      <c r="E495" s="39" t="s">
        <v>114</v>
      </c>
      <c r="F495" s="39" t="n">
        <v>1</v>
      </c>
      <c r="G495" s="41" t="n">
        <v>458</v>
      </c>
      <c r="H495" s="42" t="n">
        <f aca="false">F495*G495</f>
        <v>458</v>
      </c>
      <c r="I495" s="39" t="s">
        <v>36</v>
      </c>
      <c r="J495" s="39" t="s">
        <v>42</v>
      </c>
      <c r="K495" s="39" t="n">
        <v>3</v>
      </c>
    </row>
    <row r="496" customFormat="false" ht="15" hidden="false" customHeight="false" outlineLevel="0" collapsed="false">
      <c r="A496" s="39" t="s">
        <v>606</v>
      </c>
      <c r="B496" s="40" t="n">
        <v>46244</v>
      </c>
      <c r="C496" s="39" t="s">
        <v>50</v>
      </c>
      <c r="D496" s="39" t="s">
        <v>35</v>
      </c>
      <c r="E496" s="39" t="s">
        <v>159</v>
      </c>
      <c r="F496" s="39" t="n">
        <v>1</v>
      </c>
      <c r="G496" s="41" t="n">
        <v>478</v>
      </c>
      <c r="H496" s="42" t="n">
        <f aca="false">F496*G496</f>
        <v>478</v>
      </c>
      <c r="I496" s="39" t="s">
        <v>34</v>
      </c>
      <c r="J496" s="39" t="s">
        <v>42</v>
      </c>
      <c r="K496" s="39" t="n">
        <v>5</v>
      </c>
    </row>
    <row r="497" customFormat="false" ht="15" hidden="false" customHeight="false" outlineLevel="0" collapsed="false">
      <c r="A497" s="39" t="s">
        <v>607</v>
      </c>
      <c r="B497" s="40" t="n">
        <v>46244</v>
      </c>
      <c r="C497" s="39" t="s">
        <v>53</v>
      </c>
      <c r="D497" s="39" t="s">
        <v>38</v>
      </c>
      <c r="E497" s="39" t="s">
        <v>110</v>
      </c>
      <c r="F497" s="39" t="n">
        <v>1</v>
      </c>
      <c r="G497" s="41" t="n">
        <v>428</v>
      </c>
      <c r="H497" s="42" t="n">
        <f aca="false">F497*G497</f>
        <v>428</v>
      </c>
      <c r="I497" s="39" t="s">
        <v>34</v>
      </c>
      <c r="J497" s="39" t="s">
        <v>43</v>
      </c>
      <c r="K497" s="39" t="n">
        <v>6</v>
      </c>
    </row>
    <row r="498" customFormat="false" ht="15" hidden="false" customHeight="false" outlineLevel="0" collapsed="false">
      <c r="A498" s="39" t="s">
        <v>608</v>
      </c>
      <c r="B498" s="40" t="n">
        <v>46244</v>
      </c>
      <c r="C498" s="39" t="s">
        <v>51</v>
      </c>
      <c r="D498" s="39" t="s">
        <v>37</v>
      </c>
      <c r="E498" s="39" t="s">
        <v>131</v>
      </c>
      <c r="F498" s="39" t="n">
        <v>1</v>
      </c>
      <c r="G498" s="41" t="n">
        <v>418</v>
      </c>
      <c r="H498" s="42" t="n">
        <f aca="false">F498*G498</f>
        <v>418</v>
      </c>
      <c r="I498" s="39" t="s">
        <v>36</v>
      </c>
      <c r="J498" s="39" t="s">
        <v>45</v>
      </c>
      <c r="K498" s="39"/>
    </row>
    <row r="499" customFormat="false" ht="15" hidden="false" customHeight="false" outlineLevel="0" collapsed="false">
      <c r="A499" s="39" t="s">
        <v>609</v>
      </c>
      <c r="B499" s="40" t="n">
        <v>46244</v>
      </c>
      <c r="C499" s="39" t="s">
        <v>101</v>
      </c>
      <c r="D499" s="39" t="s">
        <v>35</v>
      </c>
      <c r="E499" s="39" t="s">
        <v>125</v>
      </c>
      <c r="F499" s="39" t="n">
        <v>1</v>
      </c>
      <c r="G499" s="41" t="n">
        <v>358</v>
      </c>
      <c r="H499" s="42" t="n">
        <f aca="false">F499*G499</f>
        <v>358</v>
      </c>
      <c r="I499" s="39" t="s">
        <v>34</v>
      </c>
      <c r="J499" s="39" t="s">
        <v>42</v>
      </c>
      <c r="K499" s="39" t="n">
        <v>5</v>
      </c>
    </row>
    <row r="500" customFormat="false" ht="15" hidden="false" customHeight="false" outlineLevel="0" collapsed="false">
      <c r="A500" s="39" t="s">
        <v>610</v>
      </c>
      <c r="B500" s="40" t="n">
        <v>46245</v>
      </c>
      <c r="C500" s="39" t="s">
        <v>101</v>
      </c>
      <c r="D500" s="39" t="s">
        <v>38</v>
      </c>
      <c r="E500" s="39" t="s">
        <v>121</v>
      </c>
      <c r="F500" s="39" t="n">
        <v>1</v>
      </c>
      <c r="G500" s="41" t="n">
        <v>678</v>
      </c>
      <c r="H500" s="42" t="n">
        <f aca="false">F500*G500</f>
        <v>678</v>
      </c>
      <c r="I500" s="39" t="s">
        <v>36</v>
      </c>
      <c r="J500" s="39" t="s">
        <v>47</v>
      </c>
      <c r="K500" s="39"/>
    </row>
    <row r="501" customFormat="false" ht="15" hidden="false" customHeight="false" outlineLevel="0" collapsed="false">
      <c r="A501" s="39" t="s">
        <v>611</v>
      </c>
      <c r="B501" s="40" t="n">
        <v>46245</v>
      </c>
      <c r="C501" s="39" t="s">
        <v>109</v>
      </c>
      <c r="D501" s="39" t="s">
        <v>33</v>
      </c>
      <c r="E501" s="39" t="s">
        <v>102</v>
      </c>
      <c r="F501" s="39" t="n">
        <v>1</v>
      </c>
      <c r="G501" s="41" t="n">
        <v>538</v>
      </c>
      <c r="H501" s="42" t="n">
        <f aca="false">F501*G501</f>
        <v>538</v>
      </c>
      <c r="I501" s="39" t="s">
        <v>34</v>
      </c>
      <c r="J501" s="39" t="s">
        <v>45</v>
      </c>
      <c r="K501" s="39"/>
    </row>
    <row r="502" customFormat="false" ht="15" hidden="false" customHeight="false" outlineLevel="0" collapsed="false">
      <c r="A502" s="39" t="s">
        <v>612</v>
      </c>
      <c r="B502" s="40" t="n">
        <v>46245</v>
      </c>
      <c r="C502" s="39" t="s">
        <v>49</v>
      </c>
      <c r="D502" s="39" t="s">
        <v>35</v>
      </c>
      <c r="E502" s="39" t="s">
        <v>95</v>
      </c>
      <c r="F502" s="39" t="n">
        <v>1</v>
      </c>
      <c r="G502" s="41" t="n">
        <v>518</v>
      </c>
      <c r="H502" s="42" t="n">
        <f aca="false">F502*G502</f>
        <v>518</v>
      </c>
      <c r="I502" s="39" t="s">
        <v>36</v>
      </c>
      <c r="J502" s="39" t="s">
        <v>42</v>
      </c>
      <c r="K502" s="39" t="n">
        <v>5</v>
      </c>
    </row>
    <row r="503" customFormat="false" ht="15" hidden="false" customHeight="false" outlineLevel="0" collapsed="false">
      <c r="A503" s="39" t="s">
        <v>613</v>
      </c>
      <c r="B503" s="40" t="n">
        <v>46245</v>
      </c>
      <c r="C503" s="39" t="s">
        <v>52</v>
      </c>
      <c r="D503" s="39" t="s">
        <v>37</v>
      </c>
      <c r="E503" s="39" t="s">
        <v>97</v>
      </c>
      <c r="F503" s="39" t="n">
        <v>1</v>
      </c>
      <c r="G503" s="41" t="n">
        <v>288</v>
      </c>
      <c r="H503" s="42" t="n">
        <f aca="false">F503*G503</f>
        <v>288</v>
      </c>
      <c r="I503" s="39" t="s">
        <v>34</v>
      </c>
      <c r="J503" s="39" t="s">
        <v>42</v>
      </c>
      <c r="K503" s="39" t="n">
        <v>5</v>
      </c>
    </row>
    <row r="504" customFormat="false" ht="15" hidden="false" customHeight="false" outlineLevel="0" collapsed="false">
      <c r="A504" s="39" t="s">
        <v>614</v>
      </c>
      <c r="B504" s="40" t="n">
        <v>46245</v>
      </c>
      <c r="C504" s="39" t="s">
        <v>101</v>
      </c>
      <c r="D504" s="39" t="s">
        <v>33</v>
      </c>
      <c r="E504" s="39" t="s">
        <v>114</v>
      </c>
      <c r="F504" s="39" t="n">
        <v>3</v>
      </c>
      <c r="G504" s="41" t="n">
        <v>518</v>
      </c>
      <c r="H504" s="42" t="n">
        <f aca="false">F504*G504</f>
        <v>1554</v>
      </c>
      <c r="I504" s="39" t="s">
        <v>34</v>
      </c>
      <c r="J504" s="39" t="s">
        <v>42</v>
      </c>
      <c r="K504" s="39" t="n">
        <v>3</v>
      </c>
    </row>
    <row r="505" customFormat="false" ht="15" hidden="false" customHeight="false" outlineLevel="0" collapsed="false">
      <c r="A505" s="39" t="s">
        <v>615</v>
      </c>
      <c r="B505" s="40" t="n">
        <v>46245</v>
      </c>
      <c r="C505" s="39" t="s">
        <v>50</v>
      </c>
      <c r="D505" s="39" t="s">
        <v>33</v>
      </c>
      <c r="E505" s="39" t="s">
        <v>117</v>
      </c>
      <c r="F505" s="39" t="n">
        <v>1</v>
      </c>
      <c r="G505" s="41" t="n">
        <v>848</v>
      </c>
      <c r="H505" s="42" t="n">
        <f aca="false">F505*G505</f>
        <v>848</v>
      </c>
      <c r="I505" s="39" t="s">
        <v>34</v>
      </c>
      <c r="J505" s="39" t="s">
        <v>42</v>
      </c>
      <c r="K505" s="39" t="n">
        <v>3</v>
      </c>
    </row>
    <row r="506" customFormat="false" ht="15" hidden="false" customHeight="false" outlineLevel="0" collapsed="false">
      <c r="A506" s="39" t="s">
        <v>616</v>
      </c>
      <c r="B506" s="40" t="n">
        <v>46245</v>
      </c>
      <c r="C506" s="39" t="s">
        <v>101</v>
      </c>
      <c r="D506" s="39" t="s">
        <v>33</v>
      </c>
      <c r="E506" s="39" t="s">
        <v>102</v>
      </c>
      <c r="F506" s="39" t="n">
        <v>1</v>
      </c>
      <c r="G506" s="41" t="n">
        <v>828</v>
      </c>
      <c r="H506" s="42" t="n">
        <f aca="false">F506*G506</f>
        <v>828</v>
      </c>
      <c r="I506" s="39" t="s">
        <v>34</v>
      </c>
      <c r="J506" s="39" t="s">
        <v>43</v>
      </c>
      <c r="K506" s="39" t="n">
        <v>6</v>
      </c>
    </row>
    <row r="507" customFormat="false" ht="15" hidden="false" customHeight="false" outlineLevel="0" collapsed="false">
      <c r="A507" s="39" t="s">
        <v>617</v>
      </c>
      <c r="B507" s="40" t="n">
        <v>46245</v>
      </c>
      <c r="C507" s="39" t="s">
        <v>49</v>
      </c>
      <c r="D507" s="39" t="s">
        <v>33</v>
      </c>
      <c r="E507" s="39" t="s">
        <v>117</v>
      </c>
      <c r="F507" s="39" t="n">
        <v>1</v>
      </c>
      <c r="G507" s="41" t="n">
        <v>628</v>
      </c>
      <c r="H507" s="42" t="n">
        <f aca="false">F507*G507</f>
        <v>628</v>
      </c>
      <c r="I507" s="39" t="s">
        <v>34</v>
      </c>
      <c r="J507" s="39" t="s">
        <v>42</v>
      </c>
      <c r="K507" s="39" t="n">
        <v>5</v>
      </c>
    </row>
    <row r="508" customFormat="false" ht="15" hidden="false" customHeight="false" outlineLevel="0" collapsed="false">
      <c r="A508" s="39" t="s">
        <v>618</v>
      </c>
      <c r="B508" s="40" t="n">
        <v>46245</v>
      </c>
      <c r="C508" s="39" t="s">
        <v>53</v>
      </c>
      <c r="D508" s="39" t="s">
        <v>38</v>
      </c>
      <c r="E508" s="39" t="s">
        <v>107</v>
      </c>
      <c r="F508" s="39" t="n">
        <v>1</v>
      </c>
      <c r="G508" s="41" t="n">
        <v>508</v>
      </c>
      <c r="H508" s="42" t="n">
        <f aca="false">F508*G508</f>
        <v>508</v>
      </c>
      <c r="I508" s="39" t="s">
        <v>36</v>
      </c>
      <c r="J508" s="39" t="s">
        <v>42</v>
      </c>
      <c r="K508" s="39" t="n">
        <v>4</v>
      </c>
    </row>
    <row r="509" customFormat="false" ht="15" hidden="false" customHeight="false" outlineLevel="0" collapsed="false">
      <c r="A509" s="39" t="s">
        <v>619</v>
      </c>
      <c r="B509" s="40" t="n">
        <v>46245</v>
      </c>
      <c r="C509" s="39" t="s">
        <v>109</v>
      </c>
      <c r="D509" s="39" t="s">
        <v>37</v>
      </c>
      <c r="E509" s="39" t="s">
        <v>131</v>
      </c>
      <c r="F509" s="39" t="n">
        <v>3</v>
      </c>
      <c r="G509" s="41" t="n">
        <v>358</v>
      </c>
      <c r="H509" s="42" t="n">
        <f aca="false">F509*G509</f>
        <v>1074</v>
      </c>
      <c r="I509" s="39" t="s">
        <v>34</v>
      </c>
      <c r="J509" s="39" t="s">
        <v>42</v>
      </c>
      <c r="K509" s="39" t="n">
        <v>4</v>
      </c>
    </row>
    <row r="510" customFormat="false" ht="15" hidden="false" customHeight="false" outlineLevel="0" collapsed="false">
      <c r="A510" s="39" t="s">
        <v>620</v>
      </c>
      <c r="B510" s="40" t="n">
        <v>46245</v>
      </c>
      <c r="C510" s="39" t="s">
        <v>49</v>
      </c>
      <c r="D510" s="39" t="s">
        <v>33</v>
      </c>
      <c r="E510" s="39" t="s">
        <v>136</v>
      </c>
      <c r="F510" s="39" t="n">
        <v>3</v>
      </c>
      <c r="G510" s="41" t="n">
        <v>708</v>
      </c>
      <c r="H510" s="42" t="n">
        <f aca="false">F510*G510</f>
        <v>2124</v>
      </c>
      <c r="I510" s="39" t="s">
        <v>36</v>
      </c>
      <c r="J510" s="39" t="s">
        <v>47</v>
      </c>
      <c r="K510" s="39"/>
    </row>
    <row r="511" customFormat="false" ht="15" hidden="false" customHeight="false" outlineLevel="0" collapsed="false">
      <c r="A511" s="39" t="s">
        <v>621</v>
      </c>
      <c r="B511" s="40" t="n">
        <v>46245</v>
      </c>
      <c r="C511" s="39" t="s">
        <v>101</v>
      </c>
      <c r="D511" s="39" t="s">
        <v>33</v>
      </c>
      <c r="E511" s="39" t="s">
        <v>102</v>
      </c>
      <c r="F511" s="39" t="n">
        <v>2</v>
      </c>
      <c r="G511" s="41" t="n">
        <v>688</v>
      </c>
      <c r="H511" s="42" t="n">
        <f aca="false">F511*G511</f>
        <v>1376</v>
      </c>
      <c r="I511" s="39" t="s">
        <v>34</v>
      </c>
      <c r="J511" s="39" t="s">
        <v>42</v>
      </c>
      <c r="K511" s="39" t="n">
        <v>4</v>
      </c>
    </row>
    <row r="512" customFormat="false" ht="15" hidden="false" customHeight="false" outlineLevel="0" collapsed="false">
      <c r="A512" s="39" t="s">
        <v>622</v>
      </c>
      <c r="B512" s="40" t="n">
        <v>46245</v>
      </c>
      <c r="C512" s="39" t="s">
        <v>48</v>
      </c>
      <c r="D512" s="39" t="s">
        <v>37</v>
      </c>
      <c r="E512" s="39" t="s">
        <v>141</v>
      </c>
      <c r="F512" s="39" t="n">
        <v>2</v>
      </c>
      <c r="G512" s="41" t="n">
        <v>568</v>
      </c>
      <c r="H512" s="42" t="n">
        <f aca="false">F512*G512</f>
        <v>1136</v>
      </c>
      <c r="I512" s="39" t="s">
        <v>34</v>
      </c>
      <c r="J512" s="39" t="s">
        <v>42</v>
      </c>
      <c r="K512" s="39" t="n">
        <v>3</v>
      </c>
    </row>
    <row r="513" customFormat="false" ht="15" hidden="false" customHeight="false" outlineLevel="0" collapsed="false">
      <c r="A513" s="39" t="s">
        <v>623</v>
      </c>
      <c r="B513" s="40" t="n">
        <v>46245</v>
      </c>
      <c r="C513" s="39" t="s">
        <v>49</v>
      </c>
      <c r="D513" s="39" t="s">
        <v>33</v>
      </c>
      <c r="E513" s="39" t="s">
        <v>117</v>
      </c>
      <c r="F513" s="39" t="n">
        <v>1</v>
      </c>
      <c r="G513" s="41" t="n">
        <v>478</v>
      </c>
      <c r="H513" s="42" t="n">
        <f aca="false">F513*G513</f>
        <v>478</v>
      </c>
      <c r="I513" s="39" t="s">
        <v>36</v>
      </c>
      <c r="J513" s="39" t="s">
        <v>42</v>
      </c>
      <c r="K513" s="39" t="n">
        <v>5</v>
      </c>
    </row>
    <row r="514" customFormat="false" ht="15" hidden="false" customHeight="false" outlineLevel="0" collapsed="false">
      <c r="A514" s="39" t="s">
        <v>624</v>
      </c>
      <c r="B514" s="40" t="n">
        <v>46245</v>
      </c>
      <c r="C514" s="39" t="s">
        <v>49</v>
      </c>
      <c r="D514" s="39" t="s">
        <v>37</v>
      </c>
      <c r="E514" s="39" t="s">
        <v>131</v>
      </c>
      <c r="F514" s="39" t="n">
        <v>2</v>
      </c>
      <c r="G514" s="41" t="n">
        <v>248</v>
      </c>
      <c r="H514" s="42" t="n">
        <f aca="false">F514*G514</f>
        <v>496</v>
      </c>
      <c r="I514" s="39" t="s">
        <v>34</v>
      </c>
      <c r="J514" s="39" t="s">
        <v>42</v>
      </c>
      <c r="K514" s="39" t="n">
        <v>4</v>
      </c>
    </row>
    <row r="515" customFormat="false" ht="15" hidden="false" customHeight="false" outlineLevel="0" collapsed="false">
      <c r="A515" s="39" t="s">
        <v>625</v>
      </c>
      <c r="B515" s="40" t="n">
        <v>46245</v>
      </c>
      <c r="C515" s="39" t="s">
        <v>50</v>
      </c>
      <c r="D515" s="39" t="s">
        <v>39</v>
      </c>
      <c r="E515" s="39" t="s">
        <v>105</v>
      </c>
      <c r="F515" s="39" t="n">
        <v>1</v>
      </c>
      <c r="G515" s="41" t="n">
        <v>878</v>
      </c>
      <c r="H515" s="42" t="n">
        <f aca="false">F515*G515</f>
        <v>878</v>
      </c>
      <c r="I515" s="39" t="s">
        <v>36</v>
      </c>
      <c r="J515" s="39" t="s">
        <v>42</v>
      </c>
      <c r="K515" s="39" t="n">
        <v>3</v>
      </c>
    </row>
    <row r="516" customFormat="false" ht="15" hidden="false" customHeight="false" outlineLevel="0" collapsed="false">
      <c r="A516" s="39" t="s">
        <v>626</v>
      </c>
      <c r="B516" s="40" t="n">
        <v>46246</v>
      </c>
      <c r="C516" s="39" t="s">
        <v>50</v>
      </c>
      <c r="D516" s="39" t="s">
        <v>35</v>
      </c>
      <c r="E516" s="39" t="s">
        <v>125</v>
      </c>
      <c r="F516" s="39" t="n">
        <v>2</v>
      </c>
      <c r="G516" s="41" t="n">
        <v>668</v>
      </c>
      <c r="H516" s="42" t="n">
        <f aca="false">F516*G516</f>
        <v>1336</v>
      </c>
      <c r="I516" s="39" t="s">
        <v>34</v>
      </c>
      <c r="J516" s="39" t="s">
        <v>42</v>
      </c>
      <c r="K516" s="39" t="n">
        <v>3</v>
      </c>
    </row>
    <row r="517" customFormat="false" ht="15" hidden="false" customHeight="false" outlineLevel="0" collapsed="false">
      <c r="A517" s="39" t="s">
        <v>627</v>
      </c>
      <c r="B517" s="40" t="n">
        <v>46246</v>
      </c>
      <c r="C517" s="39" t="s">
        <v>101</v>
      </c>
      <c r="D517" s="39" t="s">
        <v>35</v>
      </c>
      <c r="E517" s="39" t="s">
        <v>95</v>
      </c>
      <c r="F517" s="39" t="n">
        <v>1</v>
      </c>
      <c r="G517" s="41" t="n">
        <v>448</v>
      </c>
      <c r="H517" s="42" t="n">
        <f aca="false">F517*G517</f>
        <v>448</v>
      </c>
      <c r="I517" s="39" t="s">
        <v>34</v>
      </c>
      <c r="J517" s="39" t="s">
        <v>42</v>
      </c>
      <c r="K517" s="39" t="n">
        <v>4</v>
      </c>
    </row>
    <row r="518" customFormat="false" ht="15" hidden="false" customHeight="false" outlineLevel="0" collapsed="false">
      <c r="A518" s="39" t="s">
        <v>628</v>
      </c>
      <c r="B518" s="40" t="n">
        <v>46246</v>
      </c>
      <c r="C518" s="39" t="s">
        <v>50</v>
      </c>
      <c r="D518" s="39" t="s">
        <v>37</v>
      </c>
      <c r="E518" s="39" t="s">
        <v>97</v>
      </c>
      <c r="F518" s="39" t="n">
        <v>3</v>
      </c>
      <c r="G518" s="41" t="n">
        <v>458</v>
      </c>
      <c r="H518" s="42" t="n">
        <f aca="false">F518*G518</f>
        <v>1374</v>
      </c>
      <c r="I518" s="39" t="s">
        <v>36</v>
      </c>
      <c r="J518" s="39" t="s">
        <v>42</v>
      </c>
      <c r="K518" s="39" t="n">
        <v>5</v>
      </c>
    </row>
    <row r="519" customFormat="false" ht="15" hidden="false" customHeight="false" outlineLevel="0" collapsed="false">
      <c r="A519" s="39" t="s">
        <v>629</v>
      </c>
      <c r="B519" s="40" t="n">
        <v>46246</v>
      </c>
      <c r="C519" s="39" t="s">
        <v>109</v>
      </c>
      <c r="D519" s="39" t="s">
        <v>35</v>
      </c>
      <c r="E519" s="39" t="s">
        <v>125</v>
      </c>
      <c r="F519" s="39" t="n">
        <v>1</v>
      </c>
      <c r="G519" s="41" t="n">
        <v>498</v>
      </c>
      <c r="H519" s="42" t="n">
        <f aca="false">F519*G519</f>
        <v>498</v>
      </c>
      <c r="I519" s="39" t="s">
        <v>34</v>
      </c>
      <c r="J519" s="39" t="s">
        <v>43</v>
      </c>
      <c r="K519" s="39" t="n">
        <v>2</v>
      </c>
    </row>
    <row r="520" customFormat="false" ht="15" hidden="false" customHeight="false" outlineLevel="0" collapsed="false">
      <c r="A520" s="39" t="s">
        <v>630</v>
      </c>
      <c r="B520" s="40" t="n">
        <v>46246</v>
      </c>
      <c r="C520" s="39" t="s">
        <v>50</v>
      </c>
      <c r="D520" s="39" t="s">
        <v>33</v>
      </c>
      <c r="E520" s="39" t="s">
        <v>117</v>
      </c>
      <c r="F520" s="39" t="n">
        <v>1</v>
      </c>
      <c r="G520" s="41" t="n">
        <v>398</v>
      </c>
      <c r="H520" s="42" t="n">
        <f aca="false">F520*G520</f>
        <v>398</v>
      </c>
      <c r="I520" s="39" t="s">
        <v>36</v>
      </c>
      <c r="J520" s="39" t="s">
        <v>45</v>
      </c>
      <c r="K520" s="39"/>
    </row>
    <row r="521" customFormat="false" ht="15" hidden="false" customHeight="false" outlineLevel="0" collapsed="false">
      <c r="A521" s="39" t="s">
        <v>631</v>
      </c>
      <c r="B521" s="40" t="n">
        <v>46246</v>
      </c>
      <c r="C521" s="39" t="s">
        <v>51</v>
      </c>
      <c r="D521" s="39" t="s">
        <v>37</v>
      </c>
      <c r="E521" s="39" t="s">
        <v>131</v>
      </c>
      <c r="F521" s="39" t="n">
        <v>1</v>
      </c>
      <c r="G521" s="41" t="n">
        <v>438</v>
      </c>
      <c r="H521" s="42" t="n">
        <f aca="false">F521*G521</f>
        <v>438</v>
      </c>
      <c r="I521" s="39" t="s">
        <v>36</v>
      </c>
      <c r="J521" s="39" t="s">
        <v>47</v>
      </c>
      <c r="K521" s="39"/>
    </row>
    <row r="522" customFormat="false" ht="15" hidden="false" customHeight="false" outlineLevel="0" collapsed="false">
      <c r="A522" s="39" t="s">
        <v>632</v>
      </c>
      <c r="B522" s="40" t="n">
        <v>46247</v>
      </c>
      <c r="C522" s="39" t="s">
        <v>50</v>
      </c>
      <c r="D522" s="39" t="s">
        <v>39</v>
      </c>
      <c r="E522" s="39" t="s">
        <v>99</v>
      </c>
      <c r="F522" s="39" t="n">
        <v>1</v>
      </c>
      <c r="G522" s="41" t="n">
        <v>658</v>
      </c>
      <c r="H522" s="42" t="n">
        <f aca="false">F522*G522</f>
        <v>658</v>
      </c>
      <c r="I522" s="39" t="s">
        <v>36</v>
      </c>
      <c r="J522" s="39" t="s">
        <v>47</v>
      </c>
      <c r="K522" s="39"/>
    </row>
    <row r="523" customFormat="false" ht="15" hidden="false" customHeight="false" outlineLevel="0" collapsed="false">
      <c r="A523" s="39" t="s">
        <v>633</v>
      </c>
      <c r="B523" s="40" t="n">
        <v>46247</v>
      </c>
      <c r="C523" s="39" t="s">
        <v>101</v>
      </c>
      <c r="D523" s="39" t="s">
        <v>33</v>
      </c>
      <c r="E523" s="39" t="s">
        <v>114</v>
      </c>
      <c r="F523" s="39" t="n">
        <v>1</v>
      </c>
      <c r="G523" s="41" t="n">
        <v>368</v>
      </c>
      <c r="H523" s="42" t="n">
        <f aca="false">F523*G523</f>
        <v>368</v>
      </c>
      <c r="I523" s="39" t="s">
        <v>36</v>
      </c>
      <c r="J523" s="39" t="s">
        <v>43</v>
      </c>
      <c r="K523" s="39" t="n">
        <v>3</v>
      </c>
    </row>
    <row r="524" customFormat="false" ht="15" hidden="false" customHeight="false" outlineLevel="0" collapsed="false">
      <c r="A524" s="39" t="s">
        <v>634</v>
      </c>
      <c r="B524" s="40" t="n">
        <v>46247</v>
      </c>
      <c r="C524" s="39" t="s">
        <v>52</v>
      </c>
      <c r="D524" s="39" t="s">
        <v>35</v>
      </c>
      <c r="E524" s="39" t="s">
        <v>125</v>
      </c>
      <c r="F524" s="39" t="n">
        <v>2</v>
      </c>
      <c r="G524" s="41" t="n">
        <v>748</v>
      </c>
      <c r="H524" s="42" t="n">
        <f aca="false">F524*G524</f>
        <v>1496</v>
      </c>
      <c r="I524" s="39" t="s">
        <v>34</v>
      </c>
      <c r="J524" s="39" t="s">
        <v>42</v>
      </c>
      <c r="K524" s="39" t="n">
        <v>6</v>
      </c>
    </row>
    <row r="525" customFormat="false" ht="15" hidden="false" customHeight="false" outlineLevel="0" collapsed="false">
      <c r="A525" s="39" t="s">
        <v>635</v>
      </c>
      <c r="B525" s="40" t="n">
        <v>46247</v>
      </c>
      <c r="C525" s="39" t="s">
        <v>52</v>
      </c>
      <c r="D525" s="39" t="s">
        <v>38</v>
      </c>
      <c r="E525" s="39" t="s">
        <v>121</v>
      </c>
      <c r="F525" s="39" t="n">
        <v>3</v>
      </c>
      <c r="G525" s="41" t="n">
        <v>848</v>
      </c>
      <c r="H525" s="42" t="n">
        <f aca="false">F525*G525</f>
        <v>2544</v>
      </c>
      <c r="I525" s="39" t="s">
        <v>34</v>
      </c>
      <c r="J525" s="39" t="s">
        <v>42</v>
      </c>
      <c r="K525" s="39" t="n">
        <v>3</v>
      </c>
    </row>
    <row r="526" customFormat="false" ht="15" hidden="false" customHeight="false" outlineLevel="0" collapsed="false">
      <c r="A526" s="39" t="s">
        <v>636</v>
      </c>
      <c r="B526" s="40" t="n">
        <v>46247</v>
      </c>
      <c r="C526" s="39" t="s">
        <v>109</v>
      </c>
      <c r="D526" s="39" t="s">
        <v>33</v>
      </c>
      <c r="E526" s="39" t="s">
        <v>102</v>
      </c>
      <c r="F526" s="39" t="n">
        <v>1</v>
      </c>
      <c r="G526" s="41" t="n">
        <v>718</v>
      </c>
      <c r="H526" s="42" t="n">
        <f aca="false">F526*G526</f>
        <v>718</v>
      </c>
      <c r="I526" s="39" t="s">
        <v>36</v>
      </c>
      <c r="J526" s="39" t="s">
        <v>42</v>
      </c>
      <c r="K526" s="39" t="n">
        <v>5</v>
      </c>
    </row>
    <row r="527" customFormat="false" ht="15" hidden="false" customHeight="false" outlineLevel="0" collapsed="false">
      <c r="A527" s="39" t="s">
        <v>637</v>
      </c>
      <c r="B527" s="40" t="n">
        <v>46247</v>
      </c>
      <c r="C527" s="39" t="s">
        <v>50</v>
      </c>
      <c r="D527" s="39" t="s">
        <v>37</v>
      </c>
      <c r="E527" s="39" t="s">
        <v>131</v>
      </c>
      <c r="F527" s="39" t="n">
        <v>2</v>
      </c>
      <c r="G527" s="41" t="n">
        <v>618</v>
      </c>
      <c r="H527" s="42" t="n">
        <f aca="false">F527*G527</f>
        <v>1236</v>
      </c>
      <c r="I527" s="39" t="s">
        <v>36</v>
      </c>
      <c r="J527" s="39" t="s">
        <v>42</v>
      </c>
      <c r="K527" s="39" t="n">
        <v>5</v>
      </c>
    </row>
    <row r="528" customFormat="false" ht="15" hidden="false" customHeight="false" outlineLevel="0" collapsed="false">
      <c r="A528" s="39" t="s">
        <v>638</v>
      </c>
      <c r="B528" s="40" t="n">
        <v>46247</v>
      </c>
      <c r="C528" s="39" t="s">
        <v>51</v>
      </c>
      <c r="D528" s="39" t="s">
        <v>38</v>
      </c>
      <c r="E528" s="39" t="s">
        <v>110</v>
      </c>
      <c r="F528" s="39" t="n">
        <v>1</v>
      </c>
      <c r="G528" s="41" t="n">
        <v>788</v>
      </c>
      <c r="H528" s="42" t="n">
        <f aca="false">F528*G528</f>
        <v>788</v>
      </c>
      <c r="I528" s="39" t="s">
        <v>34</v>
      </c>
      <c r="J528" s="39" t="s">
        <v>42</v>
      </c>
      <c r="K528" s="39" t="n">
        <v>3</v>
      </c>
    </row>
    <row r="529" customFormat="false" ht="15" hidden="false" customHeight="false" outlineLevel="0" collapsed="false">
      <c r="A529" s="39" t="s">
        <v>639</v>
      </c>
      <c r="B529" s="40" t="n">
        <v>46247</v>
      </c>
      <c r="C529" s="39" t="s">
        <v>52</v>
      </c>
      <c r="D529" s="39" t="s">
        <v>33</v>
      </c>
      <c r="E529" s="39" t="s">
        <v>114</v>
      </c>
      <c r="F529" s="39" t="n">
        <v>1</v>
      </c>
      <c r="G529" s="41" t="n">
        <v>428</v>
      </c>
      <c r="H529" s="42" t="n">
        <f aca="false">F529*G529</f>
        <v>428</v>
      </c>
      <c r="I529" s="39" t="s">
        <v>34</v>
      </c>
      <c r="J529" s="39" t="s">
        <v>42</v>
      </c>
      <c r="K529" s="39" t="n">
        <v>4</v>
      </c>
    </row>
    <row r="530" customFormat="false" ht="15" hidden="false" customHeight="false" outlineLevel="0" collapsed="false">
      <c r="A530" s="39" t="s">
        <v>640</v>
      </c>
      <c r="B530" s="40" t="n">
        <v>46247</v>
      </c>
      <c r="C530" s="39" t="s">
        <v>49</v>
      </c>
      <c r="D530" s="39" t="s">
        <v>35</v>
      </c>
      <c r="E530" s="39" t="s">
        <v>125</v>
      </c>
      <c r="F530" s="39" t="n">
        <v>1</v>
      </c>
      <c r="G530" s="41" t="n">
        <v>288</v>
      </c>
      <c r="H530" s="42" t="n">
        <f aca="false">F530*G530</f>
        <v>288</v>
      </c>
      <c r="I530" s="39" t="s">
        <v>34</v>
      </c>
      <c r="J530" s="39" t="s">
        <v>42</v>
      </c>
      <c r="K530" s="39" t="n">
        <v>5</v>
      </c>
    </row>
    <row r="531" customFormat="false" ht="15" hidden="false" customHeight="false" outlineLevel="0" collapsed="false">
      <c r="A531" s="39" t="s">
        <v>641</v>
      </c>
      <c r="B531" s="40" t="n">
        <v>46247</v>
      </c>
      <c r="C531" s="39" t="s">
        <v>52</v>
      </c>
      <c r="D531" s="39" t="s">
        <v>33</v>
      </c>
      <c r="E531" s="39" t="s">
        <v>117</v>
      </c>
      <c r="F531" s="39" t="n">
        <v>1</v>
      </c>
      <c r="G531" s="41" t="n">
        <v>398</v>
      </c>
      <c r="H531" s="42" t="n">
        <f aca="false">F531*G531</f>
        <v>398</v>
      </c>
      <c r="I531" s="39" t="s">
        <v>34</v>
      </c>
      <c r="J531" s="39" t="s">
        <v>43</v>
      </c>
      <c r="K531" s="39" t="n">
        <v>4</v>
      </c>
    </row>
    <row r="532" customFormat="false" ht="15" hidden="false" customHeight="false" outlineLevel="0" collapsed="false">
      <c r="A532" s="39" t="s">
        <v>642</v>
      </c>
      <c r="B532" s="40" t="n">
        <v>46247</v>
      </c>
      <c r="C532" s="39" t="s">
        <v>50</v>
      </c>
      <c r="D532" s="39" t="s">
        <v>33</v>
      </c>
      <c r="E532" s="39" t="s">
        <v>136</v>
      </c>
      <c r="F532" s="39" t="n">
        <v>1</v>
      </c>
      <c r="G532" s="41" t="n">
        <v>668</v>
      </c>
      <c r="H532" s="42" t="n">
        <f aca="false">F532*G532</f>
        <v>668</v>
      </c>
      <c r="I532" s="39" t="s">
        <v>34</v>
      </c>
      <c r="J532" s="39" t="s">
        <v>42</v>
      </c>
      <c r="K532" s="39" t="n">
        <v>3</v>
      </c>
    </row>
    <row r="533" customFormat="false" ht="15" hidden="false" customHeight="false" outlineLevel="0" collapsed="false">
      <c r="A533" s="39" t="s">
        <v>643</v>
      </c>
      <c r="B533" s="40" t="n">
        <v>46247</v>
      </c>
      <c r="C533" s="39" t="s">
        <v>51</v>
      </c>
      <c r="D533" s="39" t="s">
        <v>38</v>
      </c>
      <c r="E533" s="39" t="s">
        <v>121</v>
      </c>
      <c r="F533" s="39" t="n">
        <v>1</v>
      </c>
      <c r="G533" s="41" t="n">
        <v>848</v>
      </c>
      <c r="H533" s="42" t="n">
        <f aca="false">F533*G533</f>
        <v>848</v>
      </c>
      <c r="I533" s="39" t="s">
        <v>36</v>
      </c>
      <c r="J533" s="39" t="s">
        <v>43</v>
      </c>
      <c r="K533" s="39" t="n">
        <v>4</v>
      </c>
    </row>
    <row r="534" customFormat="false" ht="15" hidden="false" customHeight="false" outlineLevel="0" collapsed="false">
      <c r="A534" s="39" t="s">
        <v>644</v>
      </c>
      <c r="B534" s="40" t="n">
        <v>46248</v>
      </c>
      <c r="C534" s="39" t="s">
        <v>49</v>
      </c>
      <c r="D534" s="39" t="s">
        <v>37</v>
      </c>
      <c r="E534" s="39" t="s">
        <v>141</v>
      </c>
      <c r="F534" s="39" t="n">
        <v>1</v>
      </c>
      <c r="G534" s="41" t="n">
        <v>588</v>
      </c>
      <c r="H534" s="42" t="n">
        <f aca="false">F534*G534</f>
        <v>588</v>
      </c>
      <c r="I534" s="39" t="s">
        <v>34</v>
      </c>
      <c r="J534" s="39" t="s">
        <v>42</v>
      </c>
      <c r="K534" s="39" t="n">
        <v>2</v>
      </c>
    </row>
    <row r="535" customFormat="false" ht="15" hidden="false" customHeight="false" outlineLevel="0" collapsed="false">
      <c r="A535" s="39" t="s">
        <v>645</v>
      </c>
      <c r="B535" s="40" t="n">
        <v>46248</v>
      </c>
      <c r="C535" s="39" t="s">
        <v>101</v>
      </c>
      <c r="D535" s="39" t="s">
        <v>33</v>
      </c>
      <c r="E535" s="39" t="s">
        <v>102</v>
      </c>
      <c r="F535" s="39" t="n">
        <v>1</v>
      </c>
      <c r="G535" s="41" t="n">
        <v>868</v>
      </c>
      <c r="H535" s="42" t="n">
        <f aca="false">F535*G535</f>
        <v>868</v>
      </c>
      <c r="I535" s="39" t="s">
        <v>34</v>
      </c>
      <c r="J535" s="39" t="s">
        <v>42</v>
      </c>
      <c r="K535" s="39" t="n">
        <v>3</v>
      </c>
    </row>
    <row r="536" customFormat="false" ht="15" hidden="false" customHeight="false" outlineLevel="0" collapsed="false">
      <c r="A536" s="39" t="s">
        <v>646</v>
      </c>
      <c r="B536" s="40" t="n">
        <v>46248</v>
      </c>
      <c r="C536" s="39" t="s">
        <v>48</v>
      </c>
      <c r="D536" s="39" t="s">
        <v>37</v>
      </c>
      <c r="E536" s="39" t="s">
        <v>97</v>
      </c>
      <c r="F536" s="39" t="n">
        <v>1</v>
      </c>
      <c r="G536" s="41" t="n">
        <v>478</v>
      </c>
      <c r="H536" s="42" t="n">
        <f aca="false">F536*G536</f>
        <v>478</v>
      </c>
      <c r="I536" s="39" t="s">
        <v>36</v>
      </c>
      <c r="J536" s="39" t="s">
        <v>43</v>
      </c>
      <c r="K536" s="39" t="n">
        <v>4</v>
      </c>
    </row>
    <row r="537" customFormat="false" ht="15" hidden="false" customHeight="false" outlineLevel="0" collapsed="false">
      <c r="A537" s="39" t="s">
        <v>647</v>
      </c>
      <c r="B537" s="40" t="n">
        <v>46248</v>
      </c>
      <c r="C537" s="39" t="s">
        <v>48</v>
      </c>
      <c r="D537" s="39" t="s">
        <v>39</v>
      </c>
      <c r="E537" s="39" t="s">
        <v>129</v>
      </c>
      <c r="F537" s="39" t="n">
        <v>2</v>
      </c>
      <c r="G537" s="41" t="n">
        <v>628</v>
      </c>
      <c r="H537" s="42" t="n">
        <f aca="false">F537*G537</f>
        <v>1256</v>
      </c>
      <c r="I537" s="39" t="s">
        <v>36</v>
      </c>
      <c r="J537" s="39" t="s">
        <v>47</v>
      </c>
      <c r="K537" s="39"/>
    </row>
    <row r="538" customFormat="false" ht="15" hidden="false" customHeight="false" outlineLevel="0" collapsed="false">
      <c r="A538" s="39" t="s">
        <v>648</v>
      </c>
      <c r="B538" s="40" t="n">
        <v>46248</v>
      </c>
      <c r="C538" s="39" t="s">
        <v>52</v>
      </c>
      <c r="D538" s="39" t="s">
        <v>35</v>
      </c>
      <c r="E538" s="39" t="s">
        <v>125</v>
      </c>
      <c r="F538" s="39" t="n">
        <v>1</v>
      </c>
      <c r="G538" s="41" t="n">
        <v>598</v>
      </c>
      <c r="H538" s="42" t="n">
        <f aca="false">F538*G538</f>
        <v>598</v>
      </c>
      <c r="I538" s="39" t="s">
        <v>34</v>
      </c>
      <c r="J538" s="39" t="s">
        <v>42</v>
      </c>
      <c r="K538" s="39" t="n">
        <v>5</v>
      </c>
    </row>
    <row r="539" customFormat="false" ht="15" hidden="false" customHeight="false" outlineLevel="0" collapsed="false">
      <c r="A539" s="39" t="s">
        <v>649</v>
      </c>
      <c r="B539" s="40" t="n">
        <v>46248</v>
      </c>
      <c r="C539" s="39" t="s">
        <v>109</v>
      </c>
      <c r="D539" s="39" t="s">
        <v>37</v>
      </c>
      <c r="E539" s="39" t="s">
        <v>141</v>
      </c>
      <c r="F539" s="39" t="n">
        <v>1</v>
      </c>
      <c r="G539" s="41" t="n">
        <v>388</v>
      </c>
      <c r="H539" s="42" t="n">
        <f aca="false">F539*G539</f>
        <v>388</v>
      </c>
      <c r="I539" s="39" t="s">
        <v>34</v>
      </c>
      <c r="J539" s="39" t="s">
        <v>42</v>
      </c>
      <c r="K539" s="39" t="n">
        <v>3</v>
      </c>
    </row>
    <row r="540" customFormat="false" ht="15" hidden="false" customHeight="false" outlineLevel="0" collapsed="false">
      <c r="A540" s="39" t="s">
        <v>650</v>
      </c>
      <c r="B540" s="40" t="n">
        <v>46248</v>
      </c>
      <c r="C540" s="39" t="s">
        <v>53</v>
      </c>
      <c r="D540" s="39" t="s">
        <v>37</v>
      </c>
      <c r="E540" s="39" t="s">
        <v>97</v>
      </c>
      <c r="F540" s="39" t="n">
        <v>1</v>
      </c>
      <c r="G540" s="41" t="n">
        <v>438</v>
      </c>
      <c r="H540" s="42" t="n">
        <f aca="false">F540*G540</f>
        <v>438</v>
      </c>
      <c r="I540" s="39" t="s">
        <v>34</v>
      </c>
      <c r="J540" s="39" t="s">
        <v>43</v>
      </c>
      <c r="K540" s="39" t="n">
        <v>5</v>
      </c>
    </row>
    <row r="541" customFormat="false" ht="15" hidden="false" customHeight="false" outlineLevel="0" collapsed="false">
      <c r="A541" s="39" t="s">
        <v>651</v>
      </c>
      <c r="B541" s="40" t="n">
        <v>46248</v>
      </c>
      <c r="C541" s="39" t="s">
        <v>50</v>
      </c>
      <c r="D541" s="39" t="s">
        <v>38</v>
      </c>
      <c r="E541" s="39" t="s">
        <v>107</v>
      </c>
      <c r="F541" s="39" t="n">
        <v>2</v>
      </c>
      <c r="G541" s="41" t="n">
        <v>948</v>
      </c>
      <c r="H541" s="42" t="n">
        <f aca="false">F541*G541</f>
        <v>1896</v>
      </c>
      <c r="I541" s="39" t="s">
        <v>34</v>
      </c>
      <c r="J541" s="39" t="s">
        <v>42</v>
      </c>
      <c r="K541" s="39" t="n">
        <v>2</v>
      </c>
    </row>
    <row r="542" customFormat="false" ht="15" hidden="false" customHeight="false" outlineLevel="0" collapsed="false">
      <c r="A542" s="39" t="s">
        <v>652</v>
      </c>
      <c r="B542" s="40" t="n">
        <v>46248</v>
      </c>
      <c r="C542" s="39" t="s">
        <v>50</v>
      </c>
      <c r="D542" s="39" t="s">
        <v>35</v>
      </c>
      <c r="E542" s="39" t="s">
        <v>95</v>
      </c>
      <c r="F542" s="39" t="n">
        <v>1</v>
      </c>
      <c r="G542" s="41" t="n">
        <v>478</v>
      </c>
      <c r="H542" s="42" t="n">
        <f aca="false">F542*G542</f>
        <v>478</v>
      </c>
      <c r="I542" s="39" t="s">
        <v>34</v>
      </c>
      <c r="J542" s="39" t="s">
        <v>42</v>
      </c>
      <c r="K542" s="39" t="n">
        <v>3</v>
      </c>
    </row>
    <row r="543" customFormat="false" ht="15" hidden="false" customHeight="false" outlineLevel="0" collapsed="false">
      <c r="A543" s="39" t="s">
        <v>653</v>
      </c>
      <c r="B543" s="40" t="n">
        <v>46248</v>
      </c>
      <c r="C543" s="39" t="s">
        <v>48</v>
      </c>
      <c r="D543" s="39" t="s">
        <v>38</v>
      </c>
      <c r="E543" s="39" t="s">
        <v>121</v>
      </c>
      <c r="F543" s="39" t="n">
        <v>1</v>
      </c>
      <c r="G543" s="41" t="n">
        <v>778</v>
      </c>
      <c r="H543" s="42" t="n">
        <f aca="false">F543*G543</f>
        <v>778</v>
      </c>
      <c r="I543" s="39" t="s">
        <v>34</v>
      </c>
      <c r="J543" s="39" t="s">
        <v>42</v>
      </c>
      <c r="K543" s="39" t="n">
        <v>3</v>
      </c>
    </row>
    <row r="544" customFormat="false" ht="15" hidden="false" customHeight="false" outlineLevel="0" collapsed="false">
      <c r="A544" s="39" t="s">
        <v>654</v>
      </c>
      <c r="B544" s="40" t="n">
        <v>46248</v>
      </c>
      <c r="C544" s="39" t="s">
        <v>51</v>
      </c>
      <c r="D544" s="39" t="s">
        <v>35</v>
      </c>
      <c r="E544" s="39" t="s">
        <v>125</v>
      </c>
      <c r="F544" s="39" t="n">
        <v>1</v>
      </c>
      <c r="G544" s="41" t="n">
        <v>768</v>
      </c>
      <c r="H544" s="42" t="n">
        <f aca="false">F544*G544</f>
        <v>768</v>
      </c>
      <c r="I544" s="39" t="s">
        <v>34</v>
      </c>
      <c r="J544" s="39" t="s">
        <v>42</v>
      </c>
      <c r="K544" s="39" t="n">
        <v>2</v>
      </c>
    </row>
    <row r="545" customFormat="false" ht="15" hidden="false" customHeight="false" outlineLevel="0" collapsed="false">
      <c r="A545" s="39" t="s">
        <v>655</v>
      </c>
      <c r="B545" s="40" t="n">
        <v>46248</v>
      </c>
      <c r="C545" s="39" t="s">
        <v>109</v>
      </c>
      <c r="D545" s="39" t="s">
        <v>37</v>
      </c>
      <c r="E545" s="39" t="s">
        <v>141</v>
      </c>
      <c r="F545" s="39" t="n">
        <v>1</v>
      </c>
      <c r="G545" s="41" t="n">
        <v>418</v>
      </c>
      <c r="H545" s="42" t="n">
        <f aca="false">F545*G545</f>
        <v>418</v>
      </c>
      <c r="I545" s="39" t="s">
        <v>34</v>
      </c>
      <c r="J545" s="39" t="s">
        <v>42</v>
      </c>
      <c r="K545" s="39" t="n">
        <v>4</v>
      </c>
    </row>
    <row r="546" customFormat="false" ht="15" hidden="false" customHeight="false" outlineLevel="0" collapsed="false">
      <c r="A546" s="39" t="s">
        <v>656</v>
      </c>
      <c r="B546" s="40" t="n">
        <v>46248</v>
      </c>
      <c r="C546" s="39" t="s">
        <v>51</v>
      </c>
      <c r="D546" s="39" t="s">
        <v>35</v>
      </c>
      <c r="E546" s="39" t="s">
        <v>125</v>
      </c>
      <c r="F546" s="39" t="n">
        <v>1</v>
      </c>
      <c r="G546" s="41" t="n">
        <v>698</v>
      </c>
      <c r="H546" s="42" t="n">
        <f aca="false">F546*G546</f>
        <v>698</v>
      </c>
      <c r="I546" s="39" t="s">
        <v>34</v>
      </c>
      <c r="J546" s="39" t="s">
        <v>42</v>
      </c>
      <c r="K546" s="39" t="n">
        <v>3</v>
      </c>
    </row>
    <row r="547" customFormat="false" ht="15" hidden="false" customHeight="false" outlineLevel="0" collapsed="false">
      <c r="A547" s="39" t="s">
        <v>657</v>
      </c>
      <c r="B547" s="40" t="n">
        <v>46248</v>
      </c>
      <c r="C547" s="39" t="s">
        <v>52</v>
      </c>
      <c r="D547" s="39" t="s">
        <v>39</v>
      </c>
      <c r="E547" s="39" t="s">
        <v>129</v>
      </c>
      <c r="F547" s="39" t="n">
        <v>1</v>
      </c>
      <c r="G547" s="41" t="n">
        <v>1008</v>
      </c>
      <c r="H547" s="42" t="n">
        <f aca="false">F547*G547</f>
        <v>1008</v>
      </c>
      <c r="I547" s="39" t="s">
        <v>36</v>
      </c>
      <c r="J547" s="39" t="s">
        <v>42</v>
      </c>
      <c r="K547" s="39" t="n">
        <v>4</v>
      </c>
    </row>
    <row r="548" customFormat="false" ht="15" hidden="false" customHeight="false" outlineLevel="0" collapsed="false">
      <c r="A548" s="39" t="s">
        <v>658</v>
      </c>
      <c r="B548" s="40" t="n">
        <v>46248</v>
      </c>
      <c r="C548" s="39" t="s">
        <v>109</v>
      </c>
      <c r="D548" s="39" t="s">
        <v>33</v>
      </c>
      <c r="E548" s="39" t="s">
        <v>102</v>
      </c>
      <c r="F548" s="39" t="n">
        <v>2</v>
      </c>
      <c r="G548" s="41" t="n">
        <v>698</v>
      </c>
      <c r="H548" s="42" t="n">
        <f aca="false">F548*G548</f>
        <v>1396</v>
      </c>
      <c r="I548" s="39" t="s">
        <v>36</v>
      </c>
      <c r="J548" s="39" t="s">
        <v>42</v>
      </c>
      <c r="K548" s="39" t="n">
        <v>4</v>
      </c>
    </row>
    <row r="549" customFormat="false" ht="15" hidden="false" customHeight="false" outlineLevel="0" collapsed="false">
      <c r="A549" s="39" t="s">
        <v>659</v>
      </c>
      <c r="B549" s="40" t="n">
        <v>46249</v>
      </c>
      <c r="C549" s="39" t="s">
        <v>49</v>
      </c>
      <c r="D549" s="39" t="s">
        <v>37</v>
      </c>
      <c r="E549" s="39" t="s">
        <v>141</v>
      </c>
      <c r="F549" s="39" t="n">
        <v>1</v>
      </c>
      <c r="G549" s="41" t="n">
        <v>518</v>
      </c>
      <c r="H549" s="42" t="n">
        <f aca="false">F549*G549</f>
        <v>518</v>
      </c>
      <c r="I549" s="39" t="s">
        <v>34</v>
      </c>
      <c r="J549" s="39" t="s">
        <v>42</v>
      </c>
      <c r="K549" s="39" t="n">
        <v>5</v>
      </c>
    </row>
    <row r="550" customFormat="false" ht="15" hidden="false" customHeight="false" outlineLevel="0" collapsed="false">
      <c r="A550" s="39" t="s">
        <v>660</v>
      </c>
      <c r="B550" s="40" t="n">
        <v>46249</v>
      </c>
      <c r="C550" s="39" t="s">
        <v>52</v>
      </c>
      <c r="D550" s="39" t="s">
        <v>37</v>
      </c>
      <c r="E550" s="39" t="s">
        <v>97</v>
      </c>
      <c r="F550" s="39" t="n">
        <v>3</v>
      </c>
      <c r="G550" s="41" t="n">
        <v>458</v>
      </c>
      <c r="H550" s="42" t="n">
        <f aca="false">F550*G550</f>
        <v>1374</v>
      </c>
      <c r="I550" s="39" t="s">
        <v>34</v>
      </c>
      <c r="J550" s="39" t="s">
        <v>42</v>
      </c>
      <c r="K550" s="39" t="n">
        <v>3</v>
      </c>
    </row>
    <row r="551" customFormat="false" ht="15" hidden="false" customHeight="false" outlineLevel="0" collapsed="false">
      <c r="A551" s="39" t="s">
        <v>661</v>
      </c>
      <c r="B551" s="40" t="n">
        <v>46249</v>
      </c>
      <c r="C551" s="39" t="s">
        <v>53</v>
      </c>
      <c r="D551" s="39" t="s">
        <v>35</v>
      </c>
      <c r="E551" s="39" t="s">
        <v>159</v>
      </c>
      <c r="F551" s="39" t="n">
        <v>1</v>
      </c>
      <c r="G551" s="41" t="n">
        <v>478</v>
      </c>
      <c r="H551" s="42" t="n">
        <f aca="false">F551*G551</f>
        <v>478</v>
      </c>
      <c r="I551" s="39" t="s">
        <v>36</v>
      </c>
      <c r="J551" s="39" t="s">
        <v>42</v>
      </c>
      <c r="K551" s="39" t="n">
        <v>4</v>
      </c>
    </row>
    <row r="552" customFormat="false" ht="15" hidden="false" customHeight="false" outlineLevel="0" collapsed="false">
      <c r="A552" s="39" t="s">
        <v>662</v>
      </c>
      <c r="B552" s="40" t="n">
        <v>46249</v>
      </c>
      <c r="C552" s="39" t="s">
        <v>50</v>
      </c>
      <c r="D552" s="39" t="s">
        <v>39</v>
      </c>
      <c r="E552" s="39" t="s">
        <v>129</v>
      </c>
      <c r="F552" s="39" t="n">
        <v>2</v>
      </c>
      <c r="G552" s="41" t="n">
        <v>808</v>
      </c>
      <c r="H552" s="42" t="n">
        <f aca="false">F552*G552</f>
        <v>1616</v>
      </c>
      <c r="I552" s="39" t="s">
        <v>36</v>
      </c>
      <c r="J552" s="39" t="s">
        <v>42</v>
      </c>
      <c r="K552" s="39" t="n">
        <v>3</v>
      </c>
    </row>
    <row r="553" customFormat="false" ht="15" hidden="false" customHeight="false" outlineLevel="0" collapsed="false">
      <c r="A553" s="39" t="s">
        <v>663</v>
      </c>
      <c r="B553" s="40" t="n">
        <v>46249</v>
      </c>
      <c r="C553" s="39" t="s">
        <v>52</v>
      </c>
      <c r="D553" s="39" t="s">
        <v>39</v>
      </c>
      <c r="E553" s="39" t="s">
        <v>129</v>
      </c>
      <c r="F553" s="39" t="n">
        <v>1</v>
      </c>
      <c r="G553" s="41" t="n">
        <v>418</v>
      </c>
      <c r="H553" s="42" t="n">
        <f aca="false">F553*G553</f>
        <v>418</v>
      </c>
      <c r="I553" s="39" t="s">
        <v>34</v>
      </c>
      <c r="J553" s="39" t="s">
        <v>42</v>
      </c>
      <c r="K553" s="39" t="n">
        <v>3</v>
      </c>
    </row>
    <row r="554" customFormat="false" ht="15" hidden="false" customHeight="false" outlineLevel="0" collapsed="false">
      <c r="A554" s="39" t="s">
        <v>664</v>
      </c>
      <c r="B554" s="40" t="n">
        <v>46249</v>
      </c>
      <c r="C554" s="39" t="s">
        <v>48</v>
      </c>
      <c r="D554" s="39" t="s">
        <v>38</v>
      </c>
      <c r="E554" s="39" t="s">
        <v>121</v>
      </c>
      <c r="F554" s="39" t="n">
        <v>3</v>
      </c>
      <c r="G554" s="41" t="n">
        <v>968</v>
      </c>
      <c r="H554" s="42" t="n">
        <f aca="false">F554*G554</f>
        <v>2904</v>
      </c>
      <c r="I554" s="39" t="s">
        <v>36</v>
      </c>
      <c r="J554" s="39" t="s">
        <v>42</v>
      </c>
      <c r="K554" s="39" t="n">
        <v>5</v>
      </c>
    </row>
    <row r="555" customFormat="false" ht="15" hidden="false" customHeight="false" outlineLevel="0" collapsed="false">
      <c r="A555" s="39" t="s">
        <v>665</v>
      </c>
      <c r="B555" s="40" t="n">
        <v>46249</v>
      </c>
      <c r="C555" s="39" t="s">
        <v>50</v>
      </c>
      <c r="D555" s="39" t="s">
        <v>33</v>
      </c>
      <c r="E555" s="39" t="s">
        <v>102</v>
      </c>
      <c r="F555" s="39" t="n">
        <v>2</v>
      </c>
      <c r="G555" s="41" t="n">
        <v>368</v>
      </c>
      <c r="H555" s="42" t="n">
        <f aca="false">F555*G555</f>
        <v>736</v>
      </c>
      <c r="I555" s="39" t="s">
        <v>34</v>
      </c>
      <c r="J555" s="39" t="s">
        <v>43</v>
      </c>
      <c r="K555" s="39" t="n">
        <v>4</v>
      </c>
    </row>
    <row r="556" customFormat="false" ht="15" hidden="false" customHeight="false" outlineLevel="0" collapsed="false">
      <c r="A556" s="39" t="s">
        <v>666</v>
      </c>
      <c r="B556" s="40" t="n">
        <v>46249</v>
      </c>
      <c r="C556" s="39" t="s">
        <v>109</v>
      </c>
      <c r="D556" s="39" t="s">
        <v>37</v>
      </c>
      <c r="E556" s="39" t="s">
        <v>141</v>
      </c>
      <c r="F556" s="39" t="n">
        <v>2</v>
      </c>
      <c r="G556" s="41" t="n">
        <v>498</v>
      </c>
      <c r="H556" s="42" t="n">
        <f aca="false">F556*G556</f>
        <v>996</v>
      </c>
      <c r="I556" s="39" t="s">
        <v>34</v>
      </c>
      <c r="J556" s="39" t="s">
        <v>42</v>
      </c>
      <c r="K556" s="39" t="n">
        <v>2</v>
      </c>
    </row>
    <row r="557" customFormat="false" ht="15" hidden="false" customHeight="false" outlineLevel="0" collapsed="false">
      <c r="A557" s="39" t="s">
        <v>667</v>
      </c>
      <c r="B557" s="40" t="n">
        <v>46249</v>
      </c>
      <c r="C557" s="39" t="s">
        <v>48</v>
      </c>
      <c r="D557" s="39" t="s">
        <v>38</v>
      </c>
      <c r="E557" s="39" t="s">
        <v>107</v>
      </c>
      <c r="F557" s="39" t="n">
        <v>2</v>
      </c>
      <c r="G557" s="41" t="n">
        <v>758</v>
      </c>
      <c r="H557" s="42" t="n">
        <f aca="false">F557*G557</f>
        <v>1516</v>
      </c>
      <c r="I557" s="39" t="s">
        <v>36</v>
      </c>
      <c r="J557" s="39" t="s">
        <v>42</v>
      </c>
      <c r="K557" s="39" t="n">
        <v>3</v>
      </c>
    </row>
    <row r="558" customFormat="false" ht="15" hidden="false" customHeight="false" outlineLevel="0" collapsed="false">
      <c r="A558" s="39" t="s">
        <v>668</v>
      </c>
      <c r="B558" s="40" t="n">
        <v>46249</v>
      </c>
      <c r="C558" s="39" t="s">
        <v>52</v>
      </c>
      <c r="D558" s="39" t="s">
        <v>33</v>
      </c>
      <c r="E558" s="39" t="s">
        <v>136</v>
      </c>
      <c r="F558" s="39" t="n">
        <v>2</v>
      </c>
      <c r="G558" s="41" t="n">
        <v>828</v>
      </c>
      <c r="H558" s="42" t="n">
        <f aca="false">F558*G558</f>
        <v>1656</v>
      </c>
      <c r="I558" s="39" t="s">
        <v>36</v>
      </c>
      <c r="J558" s="39" t="s">
        <v>42</v>
      </c>
      <c r="K558" s="39" t="n">
        <v>4</v>
      </c>
    </row>
    <row r="559" customFormat="false" ht="15" hidden="false" customHeight="false" outlineLevel="0" collapsed="false">
      <c r="A559" s="39" t="s">
        <v>669</v>
      </c>
      <c r="B559" s="40" t="n">
        <v>46249</v>
      </c>
      <c r="C559" s="39" t="s">
        <v>101</v>
      </c>
      <c r="D559" s="39" t="s">
        <v>33</v>
      </c>
      <c r="E559" s="39" t="s">
        <v>136</v>
      </c>
      <c r="F559" s="39" t="n">
        <v>1</v>
      </c>
      <c r="G559" s="41" t="n">
        <v>668</v>
      </c>
      <c r="H559" s="42" t="n">
        <f aca="false">F559*G559</f>
        <v>668</v>
      </c>
      <c r="I559" s="39" t="s">
        <v>34</v>
      </c>
      <c r="J559" s="39" t="s">
        <v>42</v>
      </c>
      <c r="K559" s="39" t="n">
        <v>5</v>
      </c>
    </row>
    <row r="560" customFormat="false" ht="15" hidden="false" customHeight="false" outlineLevel="0" collapsed="false">
      <c r="A560" s="39" t="s">
        <v>670</v>
      </c>
      <c r="B560" s="40" t="n">
        <v>46249</v>
      </c>
      <c r="C560" s="39" t="s">
        <v>52</v>
      </c>
      <c r="D560" s="39" t="s">
        <v>38</v>
      </c>
      <c r="E560" s="39" t="s">
        <v>110</v>
      </c>
      <c r="F560" s="39" t="n">
        <v>2</v>
      </c>
      <c r="G560" s="41" t="n">
        <v>418</v>
      </c>
      <c r="H560" s="42" t="n">
        <f aca="false">F560*G560</f>
        <v>836</v>
      </c>
      <c r="I560" s="39" t="s">
        <v>36</v>
      </c>
      <c r="J560" s="39" t="s">
        <v>42</v>
      </c>
      <c r="K560" s="39" t="n">
        <v>5</v>
      </c>
    </row>
    <row r="561" customFormat="false" ht="15" hidden="false" customHeight="false" outlineLevel="0" collapsed="false">
      <c r="A561" s="39" t="s">
        <v>671</v>
      </c>
      <c r="B561" s="40" t="n">
        <v>46249</v>
      </c>
      <c r="C561" s="39" t="s">
        <v>53</v>
      </c>
      <c r="D561" s="39" t="s">
        <v>39</v>
      </c>
      <c r="E561" s="39" t="s">
        <v>129</v>
      </c>
      <c r="F561" s="39" t="n">
        <v>1</v>
      </c>
      <c r="G561" s="41" t="n">
        <v>1008</v>
      </c>
      <c r="H561" s="42" t="n">
        <f aca="false">F561*G561</f>
        <v>1008</v>
      </c>
      <c r="I561" s="39" t="s">
        <v>34</v>
      </c>
      <c r="J561" s="39" t="s">
        <v>45</v>
      </c>
      <c r="K561" s="39"/>
    </row>
    <row r="562" customFormat="false" ht="15" hidden="false" customHeight="false" outlineLevel="0" collapsed="false">
      <c r="A562" s="39" t="s">
        <v>672</v>
      </c>
      <c r="B562" s="40" t="n">
        <v>46249</v>
      </c>
      <c r="C562" s="39" t="s">
        <v>52</v>
      </c>
      <c r="D562" s="39" t="s">
        <v>33</v>
      </c>
      <c r="E562" s="39" t="s">
        <v>136</v>
      </c>
      <c r="F562" s="39" t="n">
        <v>1</v>
      </c>
      <c r="G562" s="41" t="n">
        <v>308</v>
      </c>
      <c r="H562" s="42" t="n">
        <f aca="false">F562*G562</f>
        <v>308</v>
      </c>
      <c r="I562" s="39" t="s">
        <v>34</v>
      </c>
      <c r="J562" s="39" t="s">
        <v>42</v>
      </c>
      <c r="K562" s="39" t="n">
        <v>6</v>
      </c>
    </row>
    <row r="563" customFormat="false" ht="15" hidden="false" customHeight="false" outlineLevel="0" collapsed="false">
      <c r="A563" s="39" t="s">
        <v>673</v>
      </c>
      <c r="B563" s="40" t="n">
        <v>46249</v>
      </c>
      <c r="C563" s="39" t="s">
        <v>109</v>
      </c>
      <c r="D563" s="39" t="s">
        <v>37</v>
      </c>
      <c r="E563" s="39" t="s">
        <v>141</v>
      </c>
      <c r="F563" s="39" t="n">
        <v>2</v>
      </c>
      <c r="G563" s="41" t="n">
        <v>448</v>
      </c>
      <c r="H563" s="42" t="n">
        <f aca="false">F563*G563</f>
        <v>896</v>
      </c>
      <c r="I563" s="39" t="s">
        <v>34</v>
      </c>
      <c r="J563" s="39" t="s">
        <v>42</v>
      </c>
      <c r="K563" s="39" t="n">
        <v>7</v>
      </c>
    </row>
    <row r="564" customFormat="false" ht="15" hidden="false" customHeight="false" outlineLevel="0" collapsed="false">
      <c r="A564" s="39" t="s">
        <v>674</v>
      </c>
      <c r="B564" s="40" t="n">
        <v>46249</v>
      </c>
      <c r="C564" s="39" t="s">
        <v>109</v>
      </c>
      <c r="D564" s="39" t="s">
        <v>37</v>
      </c>
      <c r="E564" s="39" t="s">
        <v>141</v>
      </c>
      <c r="F564" s="39" t="n">
        <v>1</v>
      </c>
      <c r="G564" s="41" t="n">
        <v>558</v>
      </c>
      <c r="H564" s="42" t="n">
        <f aca="false">F564*G564</f>
        <v>558</v>
      </c>
      <c r="I564" s="39" t="s">
        <v>34</v>
      </c>
      <c r="J564" s="39" t="s">
        <v>42</v>
      </c>
      <c r="K564" s="39" t="n">
        <v>3</v>
      </c>
    </row>
    <row r="565" customFormat="false" ht="15" hidden="false" customHeight="false" outlineLevel="0" collapsed="false">
      <c r="A565" s="39" t="s">
        <v>675</v>
      </c>
      <c r="B565" s="40" t="n">
        <v>46249</v>
      </c>
      <c r="C565" s="39" t="s">
        <v>109</v>
      </c>
      <c r="D565" s="39" t="s">
        <v>39</v>
      </c>
      <c r="E565" s="39" t="s">
        <v>99</v>
      </c>
      <c r="F565" s="39" t="n">
        <v>1</v>
      </c>
      <c r="G565" s="41" t="n">
        <v>758</v>
      </c>
      <c r="H565" s="42" t="n">
        <f aca="false">F565*G565</f>
        <v>758</v>
      </c>
      <c r="I565" s="39" t="s">
        <v>36</v>
      </c>
      <c r="J565" s="39" t="s">
        <v>42</v>
      </c>
      <c r="K565" s="39" t="n">
        <v>3</v>
      </c>
    </row>
    <row r="566" customFormat="false" ht="15" hidden="false" customHeight="false" outlineLevel="0" collapsed="false">
      <c r="A566" s="39" t="s">
        <v>676</v>
      </c>
      <c r="B566" s="40" t="n">
        <v>46249</v>
      </c>
      <c r="C566" s="39" t="s">
        <v>50</v>
      </c>
      <c r="D566" s="39" t="s">
        <v>33</v>
      </c>
      <c r="E566" s="39" t="s">
        <v>114</v>
      </c>
      <c r="F566" s="39" t="n">
        <v>1</v>
      </c>
      <c r="G566" s="41" t="n">
        <v>758</v>
      </c>
      <c r="H566" s="42" t="n">
        <f aca="false">F566*G566</f>
        <v>758</v>
      </c>
      <c r="I566" s="39" t="s">
        <v>34</v>
      </c>
      <c r="J566" s="39" t="s">
        <v>42</v>
      </c>
      <c r="K566" s="39" t="n">
        <v>3</v>
      </c>
    </row>
    <row r="567" customFormat="false" ht="15" hidden="false" customHeight="false" outlineLevel="0" collapsed="false">
      <c r="A567" s="39" t="s">
        <v>677</v>
      </c>
      <c r="B567" s="40" t="n">
        <v>46250</v>
      </c>
      <c r="C567" s="39" t="s">
        <v>50</v>
      </c>
      <c r="D567" s="39" t="s">
        <v>33</v>
      </c>
      <c r="E567" s="39" t="s">
        <v>114</v>
      </c>
      <c r="F567" s="39" t="n">
        <v>2</v>
      </c>
      <c r="G567" s="41" t="n">
        <v>468</v>
      </c>
      <c r="H567" s="42" t="n">
        <f aca="false">F567*G567</f>
        <v>936</v>
      </c>
      <c r="I567" s="39" t="s">
        <v>34</v>
      </c>
      <c r="J567" s="39" t="s">
        <v>42</v>
      </c>
      <c r="K567" s="39" t="n">
        <v>4</v>
      </c>
    </row>
    <row r="568" customFormat="false" ht="15" hidden="false" customHeight="false" outlineLevel="0" collapsed="false">
      <c r="A568" s="39" t="s">
        <v>678</v>
      </c>
      <c r="B568" s="40" t="n">
        <v>46250</v>
      </c>
      <c r="C568" s="39" t="s">
        <v>109</v>
      </c>
      <c r="D568" s="39" t="s">
        <v>33</v>
      </c>
      <c r="E568" s="39" t="s">
        <v>117</v>
      </c>
      <c r="F568" s="39" t="n">
        <v>2</v>
      </c>
      <c r="G568" s="41" t="n">
        <v>418</v>
      </c>
      <c r="H568" s="42" t="n">
        <f aca="false">F568*G568</f>
        <v>836</v>
      </c>
      <c r="I568" s="39" t="s">
        <v>36</v>
      </c>
      <c r="J568" s="39" t="s">
        <v>42</v>
      </c>
      <c r="K568" s="39" t="n">
        <v>4</v>
      </c>
    </row>
    <row r="569" customFormat="false" ht="15" hidden="false" customHeight="false" outlineLevel="0" collapsed="false">
      <c r="A569" s="39" t="s">
        <v>679</v>
      </c>
      <c r="B569" s="40" t="n">
        <v>46250</v>
      </c>
      <c r="C569" s="39" t="s">
        <v>48</v>
      </c>
      <c r="D569" s="39" t="s">
        <v>39</v>
      </c>
      <c r="E569" s="39" t="s">
        <v>105</v>
      </c>
      <c r="F569" s="39" t="n">
        <v>2</v>
      </c>
      <c r="G569" s="41" t="n">
        <v>1058</v>
      </c>
      <c r="H569" s="42" t="n">
        <f aca="false">F569*G569</f>
        <v>2116</v>
      </c>
      <c r="I569" s="39" t="s">
        <v>36</v>
      </c>
      <c r="J569" s="39" t="s">
        <v>42</v>
      </c>
      <c r="K569" s="39" t="n">
        <v>4</v>
      </c>
    </row>
    <row r="570" customFormat="false" ht="15" hidden="false" customHeight="false" outlineLevel="0" collapsed="false">
      <c r="A570" s="39" t="s">
        <v>680</v>
      </c>
      <c r="B570" s="40" t="n">
        <v>46250</v>
      </c>
      <c r="C570" s="39" t="s">
        <v>101</v>
      </c>
      <c r="D570" s="39" t="s">
        <v>38</v>
      </c>
      <c r="E570" s="39" t="s">
        <v>121</v>
      </c>
      <c r="F570" s="39" t="n">
        <v>1</v>
      </c>
      <c r="G570" s="41" t="n">
        <v>698</v>
      </c>
      <c r="H570" s="42" t="n">
        <f aca="false">F570*G570</f>
        <v>698</v>
      </c>
      <c r="I570" s="39" t="s">
        <v>36</v>
      </c>
      <c r="J570" s="39" t="s">
        <v>47</v>
      </c>
      <c r="K570" s="39"/>
    </row>
    <row r="571" customFormat="false" ht="15" hidden="false" customHeight="false" outlineLevel="0" collapsed="false">
      <c r="A571" s="39" t="s">
        <v>681</v>
      </c>
      <c r="B571" s="40" t="n">
        <v>46250</v>
      </c>
      <c r="C571" s="39" t="s">
        <v>48</v>
      </c>
      <c r="D571" s="39" t="s">
        <v>33</v>
      </c>
      <c r="E571" s="39" t="s">
        <v>117</v>
      </c>
      <c r="F571" s="39" t="n">
        <v>3</v>
      </c>
      <c r="G571" s="41" t="n">
        <v>528</v>
      </c>
      <c r="H571" s="42" t="n">
        <f aca="false">F571*G571</f>
        <v>1584</v>
      </c>
      <c r="I571" s="39" t="s">
        <v>36</v>
      </c>
      <c r="J571" s="39" t="s">
        <v>42</v>
      </c>
      <c r="K571" s="39" t="n">
        <v>5</v>
      </c>
    </row>
    <row r="572" customFormat="false" ht="15" hidden="false" customHeight="false" outlineLevel="0" collapsed="false">
      <c r="A572" s="39" t="s">
        <v>682</v>
      </c>
      <c r="B572" s="40" t="n">
        <v>46250</v>
      </c>
      <c r="C572" s="39" t="s">
        <v>52</v>
      </c>
      <c r="D572" s="39" t="s">
        <v>39</v>
      </c>
      <c r="E572" s="39" t="s">
        <v>129</v>
      </c>
      <c r="F572" s="39" t="n">
        <v>1</v>
      </c>
      <c r="G572" s="41" t="n">
        <v>978</v>
      </c>
      <c r="H572" s="42" t="n">
        <f aca="false">F572*G572</f>
        <v>978</v>
      </c>
      <c r="I572" s="39" t="s">
        <v>36</v>
      </c>
      <c r="J572" s="39" t="s">
        <v>42</v>
      </c>
      <c r="K572" s="39" t="n">
        <v>2</v>
      </c>
    </row>
    <row r="573" customFormat="false" ht="15" hidden="false" customHeight="false" outlineLevel="0" collapsed="false">
      <c r="A573" s="39" t="s">
        <v>683</v>
      </c>
      <c r="B573" s="40" t="n">
        <v>46250</v>
      </c>
      <c r="C573" s="39" t="s">
        <v>51</v>
      </c>
      <c r="D573" s="39" t="s">
        <v>33</v>
      </c>
      <c r="E573" s="39" t="s">
        <v>136</v>
      </c>
      <c r="F573" s="39" t="n">
        <v>1</v>
      </c>
      <c r="G573" s="41" t="n">
        <v>768</v>
      </c>
      <c r="H573" s="42" t="n">
        <f aca="false">F573*G573</f>
        <v>768</v>
      </c>
      <c r="I573" s="39" t="s">
        <v>34</v>
      </c>
      <c r="J573" s="39" t="s">
        <v>42</v>
      </c>
      <c r="K573" s="39" t="n">
        <v>5</v>
      </c>
    </row>
    <row r="574" customFormat="false" ht="15" hidden="false" customHeight="false" outlineLevel="0" collapsed="false">
      <c r="A574" s="39" t="s">
        <v>684</v>
      </c>
      <c r="B574" s="40" t="n">
        <v>46250</v>
      </c>
      <c r="C574" s="39" t="s">
        <v>109</v>
      </c>
      <c r="D574" s="39" t="s">
        <v>39</v>
      </c>
      <c r="E574" s="39" t="s">
        <v>99</v>
      </c>
      <c r="F574" s="39" t="n">
        <v>1</v>
      </c>
      <c r="G574" s="41" t="n">
        <v>918</v>
      </c>
      <c r="H574" s="42" t="n">
        <f aca="false">F574*G574</f>
        <v>918</v>
      </c>
      <c r="I574" s="39" t="s">
        <v>34</v>
      </c>
      <c r="J574" s="39" t="s">
        <v>42</v>
      </c>
      <c r="K574" s="39" t="n">
        <v>4</v>
      </c>
    </row>
    <row r="575" customFormat="false" ht="15" hidden="false" customHeight="false" outlineLevel="0" collapsed="false">
      <c r="A575" s="39" t="s">
        <v>685</v>
      </c>
      <c r="B575" s="40" t="n">
        <v>46250</v>
      </c>
      <c r="C575" s="39" t="s">
        <v>109</v>
      </c>
      <c r="D575" s="39" t="s">
        <v>38</v>
      </c>
      <c r="E575" s="39" t="s">
        <v>110</v>
      </c>
      <c r="F575" s="39" t="n">
        <v>2</v>
      </c>
      <c r="G575" s="41" t="n">
        <v>888</v>
      </c>
      <c r="H575" s="42" t="n">
        <f aca="false">F575*G575</f>
        <v>1776</v>
      </c>
      <c r="I575" s="39" t="s">
        <v>36</v>
      </c>
      <c r="J575" s="39" t="s">
        <v>42</v>
      </c>
      <c r="K575" s="39" t="n">
        <v>5</v>
      </c>
    </row>
    <row r="576" customFormat="false" ht="15" hidden="false" customHeight="false" outlineLevel="0" collapsed="false">
      <c r="A576" s="39" t="s">
        <v>686</v>
      </c>
      <c r="B576" s="40" t="n">
        <v>46250</v>
      </c>
      <c r="C576" s="39" t="s">
        <v>50</v>
      </c>
      <c r="D576" s="39" t="s">
        <v>39</v>
      </c>
      <c r="E576" s="39" t="s">
        <v>129</v>
      </c>
      <c r="F576" s="39" t="n">
        <v>1</v>
      </c>
      <c r="G576" s="41" t="n">
        <v>1188</v>
      </c>
      <c r="H576" s="42" t="n">
        <f aca="false">F576*G576</f>
        <v>1188</v>
      </c>
      <c r="I576" s="39" t="s">
        <v>34</v>
      </c>
      <c r="J576" s="39" t="s">
        <v>42</v>
      </c>
      <c r="K576" s="39" t="n">
        <v>3</v>
      </c>
    </row>
    <row r="577" customFormat="false" ht="15" hidden="false" customHeight="false" outlineLevel="0" collapsed="false">
      <c r="A577" s="39" t="s">
        <v>687</v>
      </c>
      <c r="B577" s="40" t="n">
        <v>46250</v>
      </c>
      <c r="C577" s="39" t="s">
        <v>50</v>
      </c>
      <c r="D577" s="39" t="s">
        <v>33</v>
      </c>
      <c r="E577" s="39" t="s">
        <v>102</v>
      </c>
      <c r="F577" s="39" t="n">
        <v>1</v>
      </c>
      <c r="G577" s="41" t="n">
        <v>378</v>
      </c>
      <c r="H577" s="42" t="n">
        <f aca="false">F577*G577</f>
        <v>378</v>
      </c>
      <c r="I577" s="39" t="s">
        <v>34</v>
      </c>
      <c r="J577" s="39" t="s">
        <v>43</v>
      </c>
      <c r="K577" s="39" t="n">
        <v>6</v>
      </c>
    </row>
    <row r="578" customFormat="false" ht="15" hidden="false" customHeight="false" outlineLevel="0" collapsed="false">
      <c r="A578" s="39" t="s">
        <v>688</v>
      </c>
      <c r="B578" s="40" t="n">
        <v>46250</v>
      </c>
      <c r="C578" s="39" t="s">
        <v>48</v>
      </c>
      <c r="D578" s="39" t="s">
        <v>33</v>
      </c>
      <c r="E578" s="39" t="s">
        <v>136</v>
      </c>
      <c r="F578" s="39" t="n">
        <v>1</v>
      </c>
      <c r="G578" s="41" t="n">
        <v>348</v>
      </c>
      <c r="H578" s="42" t="n">
        <f aca="false">F578*G578</f>
        <v>348</v>
      </c>
      <c r="I578" s="39" t="s">
        <v>36</v>
      </c>
      <c r="J578" s="39" t="s">
        <v>42</v>
      </c>
      <c r="K578" s="39" t="n">
        <v>3</v>
      </c>
    </row>
    <row r="579" customFormat="false" ht="15" hidden="false" customHeight="false" outlineLevel="0" collapsed="false">
      <c r="A579" s="39" t="s">
        <v>689</v>
      </c>
      <c r="B579" s="40" t="n">
        <v>46250</v>
      </c>
      <c r="C579" s="39" t="s">
        <v>53</v>
      </c>
      <c r="D579" s="39" t="s">
        <v>35</v>
      </c>
      <c r="E579" s="39" t="s">
        <v>95</v>
      </c>
      <c r="F579" s="39" t="n">
        <v>1</v>
      </c>
      <c r="G579" s="41" t="n">
        <v>728</v>
      </c>
      <c r="H579" s="42" t="n">
        <f aca="false">F579*G579</f>
        <v>728</v>
      </c>
      <c r="I579" s="39" t="s">
        <v>36</v>
      </c>
      <c r="J579" s="39" t="s">
        <v>43</v>
      </c>
      <c r="K579" s="39" t="n">
        <v>3</v>
      </c>
    </row>
    <row r="580" customFormat="false" ht="15" hidden="false" customHeight="false" outlineLevel="0" collapsed="false">
      <c r="A580" s="39" t="s">
        <v>690</v>
      </c>
      <c r="B580" s="40" t="n">
        <v>46250</v>
      </c>
      <c r="C580" s="39" t="s">
        <v>53</v>
      </c>
      <c r="D580" s="39" t="s">
        <v>35</v>
      </c>
      <c r="E580" s="39" t="s">
        <v>125</v>
      </c>
      <c r="F580" s="39" t="n">
        <v>1</v>
      </c>
      <c r="G580" s="41" t="n">
        <v>758</v>
      </c>
      <c r="H580" s="42" t="n">
        <f aca="false">F580*G580</f>
        <v>758</v>
      </c>
      <c r="I580" s="39" t="s">
        <v>34</v>
      </c>
      <c r="J580" s="39" t="s">
        <v>42</v>
      </c>
      <c r="K580" s="39" t="n">
        <v>3</v>
      </c>
    </row>
    <row r="581" customFormat="false" ht="15" hidden="false" customHeight="false" outlineLevel="0" collapsed="false">
      <c r="A581" s="39" t="s">
        <v>691</v>
      </c>
      <c r="B581" s="40" t="n">
        <v>46251</v>
      </c>
      <c r="C581" s="39" t="s">
        <v>51</v>
      </c>
      <c r="D581" s="39" t="s">
        <v>33</v>
      </c>
      <c r="E581" s="39" t="s">
        <v>102</v>
      </c>
      <c r="F581" s="39" t="n">
        <v>1</v>
      </c>
      <c r="G581" s="41" t="n">
        <v>518</v>
      </c>
      <c r="H581" s="42" t="n">
        <f aca="false">F581*G581</f>
        <v>518</v>
      </c>
      <c r="I581" s="39" t="s">
        <v>34</v>
      </c>
      <c r="J581" s="39" t="s">
        <v>42</v>
      </c>
      <c r="K581" s="39" t="n">
        <v>3</v>
      </c>
    </row>
    <row r="582" customFormat="false" ht="15" hidden="false" customHeight="false" outlineLevel="0" collapsed="false">
      <c r="A582" s="39" t="s">
        <v>692</v>
      </c>
      <c r="B582" s="40" t="n">
        <v>46251</v>
      </c>
      <c r="C582" s="39" t="s">
        <v>48</v>
      </c>
      <c r="D582" s="39" t="s">
        <v>33</v>
      </c>
      <c r="E582" s="39" t="s">
        <v>117</v>
      </c>
      <c r="F582" s="39" t="n">
        <v>1</v>
      </c>
      <c r="G582" s="41" t="n">
        <v>348</v>
      </c>
      <c r="H582" s="42" t="n">
        <f aca="false">F582*G582</f>
        <v>348</v>
      </c>
      <c r="I582" s="39" t="s">
        <v>34</v>
      </c>
      <c r="J582" s="39" t="s">
        <v>42</v>
      </c>
      <c r="K582" s="39" t="n">
        <v>5</v>
      </c>
    </row>
    <row r="583" customFormat="false" ht="15" hidden="false" customHeight="false" outlineLevel="0" collapsed="false">
      <c r="A583" s="39" t="s">
        <v>693</v>
      </c>
      <c r="B583" s="40" t="n">
        <v>46251</v>
      </c>
      <c r="C583" s="39" t="s">
        <v>101</v>
      </c>
      <c r="D583" s="39" t="s">
        <v>33</v>
      </c>
      <c r="E583" s="39" t="s">
        <v>102</v>
      </c>
      <c r="F583" s="39" t="n">
        <v>1</v>
      </c>
      <c r="G583" s="41" t="n">
        <v>368</v>
      </c>
      <c r="H583" s="42" t="n">
        <f aca="false">F583*G583</f>
        <v>368</v>
      </c>
      <c r="I583" s="39" t="s">
        <v>36</v>
      </c>
      <c r="J583" s="39" t="s">
        <v>47</v>
      </c>
      <c r="K583" s="39"/>
    </row>
    <row r="584" customFormat="false" ht="15" hidden="false" customHeight="false" outlineLevel="0" collapsed="false">
      <c r="A584" s="39" t="s">
        <v>694</v>
      </c>
      <c r="B584" s="40" t="n">
        <v>46251</v>
      </c>
      <c r="C584" s="39" t="s">
        <v>49</v>
      </c>
      <c r="D584" s="39" t="s">
        <v>35</v>
      </c>
      <c r="E584" s="39" t="s">
        <v>95</v>
      </c>
      <c r="F584" s="39" t="n">
        <v>1</v>
      </c>
      <c r="G584" s="41" t="n">
        <v>338</v>
      </c>
      <c r="H584" s="42" t="n">
        <f aca="false">F584*G584</f>
        <v>338</v>
      </c>
      <c r="I584" s="39" t="s">
        <v>34</v>
      </c>
      <c r="J584" s="39" t="s">
        <v>42</v>
      </c>
      <c r="K584" s="39" t="n">
        <v>4</v>
      </c>
    </row>
    <row r="585" customFormat="false" ht="15" hidden="false" customHeight="false" outlineLevel="0" collapsed="false">
      <c r="A585" s="39" t="s">
        <v>695</v>
      </c>
      <c r="B585" s="40" t="n">
        <v>46251</v>
      </c>
      <c r="C585" s="39" t="s">
        <v>53</v>
      </c>
      <c r="D585" s="39" t="s">
        <v>35</v>
      </c>
      <c r="E585" s="39" t="s">
        <v>159</v>
      </c>
      <c r="F585" s="39" t="n">
        <v>1</v>
      </c>
      <c r="G585" s="41" t="n">
        <v>408</v>
      </c>
      <c r="H585" s="42" t="n">
        <f aca="false">F585*G585</f>
        <v>408</v>
      </c>
      <c r="I585" s="39" t="s">
        <v>34</v>
      </c>
      <c r="J585" s="39" t="s">
        <v>42</v>
      </c>
      <c r="K585" s="39" t="n">
        <v>5</v>
      </c>
    </row>
    <row r="586" customFormat="false" ht="15" hidden="false" customHeight="false" outlineLevel="0" collapsed="false">
      <c r="A586" s="39" t="s">
        <v>696</v>
      </c>
      <c r="B586" s="40" t="n">
        <v>46251</v>
      </c>
      <c r="C586" s="39" t="s">
        <v>51</v>
      </c>
      <c r="D586" s="39" t="s">
        <v>35</v>
      </c>
      <c r="E586" s="39" t="s">
        <v>159</v>
      </c>
      <c r="F586" s="39" t="n">
        <v>1</v>
      </c>
      <c r="G586" s="41" t="n">
        <v>668</v>
      </c>
      <c r="H586" s="42" t="n">
        <f aca="false">F586*G586</f>
        <v>668</v>
      </c>
      <c r="I586" s="39" t="s">
        <v>34</v>
      </c>
      <c r="J586" s="39" t="s">
        <v>42</v>
      </c>
      <c r="K586" s="39" t="n">
        <v>7</v>
      </c>
    </row>
    <row r="587" customFormat="false" ht="15" hidden="false" customHeight="false" outlineLevel="0" collapsed="false">
      <c r="A587" s="39" t="s">
        <v>697</v>
      </c>
      <c r="B587" s="40" t="n">
        <v>46251</v>
      </c>
      <c r="C587" s="39" t="s">
        <v>52</v>
      </c>
      <c r="D587" s="39" t="s">
        <v>38</v>
      </c>
      <c r="E587" s="39" t="s">
        <v>107</v>
      </c>
      <c r="F587" s="39" t="n">
        <v>1</v>
      </c>
      <c r="G587" s="41" t="n">
        <v>608</v>
      </c>
      <c r="H587" s="42" t="n">
        <f aca="false">F587*G587</f>
        <v>608</v>
      </c>
      <c r="I587" s="39" t="s">
        <v>34</v>
      </c>
      <c r="J587" s="39" t="s">
        <v>42</v>
      </c>
      <c r="K587" s="39" t="n">
        <v>4</v>
      </c>
    </row>
    <row r="588" customFormat="false" ht="15" hidden="false" customHeight="false" outlineLevel="0" collapsed="false">
      <c r="A588" s="39" t="s">
        <v>698</v>
      </c>
      <c r="B588" s="40" t="n">
        <v>46251</v>
      </c>
      <c r="C588" s="39" t="s">
        <v>50</v>
      </c>
      <c r="D588" s="39" t="s">
        <v>38</v>
      </c>
      <c r="E588" s="39" t="s">
        <v>121</v>
      </c>
      <c r="F588" s="39" t="n">
        <v>1</v>
      </c>
      <c r="G588" s="41" t="n">
        <v>608</v>
      </c>
      <c r="H588" s="42" t="n">
        <f aca="false">F588*G588</f>
        <v>608</v>
      </c>
      <c r="I588" s="39" t="s">
        <v>34</v>
      </c>
      <c r="J588" s="39" t="s">
        <v>42</v>
      </c>
      <c r="K588" s="39" t="n">
        <v>4</v>
      </c>
    </row>
    <row r="589" customFormat="false" ht="15" hidden="false" customHeight="false" outlineLevel="0" collapsed="false">
      <c r="A589" s="39" t="s">
        <v>699</v>
      </c>
      <c r="B589" s="40" t="n">
        <v>46251</v>
      </c>
      <c r="C589" s="39" t="s">
        <v>52</v>
      </c>
      <c r="D589" s="39" t="s">
        <v>38</v>
      </c>
      <c r="E589" s="39" t="s">
        <v>110</v>
      </c>
      <c r="F589" s="39" t="n">
        <v>1</v>
      </c>
      <c r="G589" s="41" t="n">
        <v>428</v>
      </c>
      <c r="H589" s="42" t="n">
        <f aca="false">F589*G589</f>
        <v>428</v>
      </c>
      <c r="I589" s="39" t="s">
        <v>36</v>
      </c>
      <c r="J589" s="39" t="s">
        <v>47</v>
      </c>
      <c r="K589" s="39"/>
    </row>
    <row r="590" customFormat="false" ht="15" hidden="false" customHeight="false" outlineLevel="0" collapsed="false">
      <c r="A590" s="39" t="s">
        <v>700</v>
      </c>
      <c r="B590" s="40" t="n">
        <v>46251</v>
      </c>
      <c r="C590" s="39" t="s">
        <v>53</v>
      </c>
      <c r="D590" s="39" t="s">
        <v>39</v>
      </c>
      <c r="E590" s="39" t="s">
        <v>99</v>
      </c>
      <c r="F590" s="39" t="n">
        <v>1</v>
      </c>
      <c r="G590" s="41" t="n">
        <v>798</v>
      </c>
      <c r="H590" s="42" t="n">
        <f aca="false">F590*G590</f>
        <v>798</v>
      </c>
      <c r="I590" s="39" t="s">
        <v>34</v>
      </c>
      <c r="J590" s="39" t="s">
        <v>42</v>
      </c>
      <c r="K590" s="39" t="n">
        <v>4</v>
      </c>
    </row>
    <row r="591" customFormat="false" ht="15" hidden="false" customHeight="false" outlineLevel="0" collapsed="false">
      <c r="A591" s="39" t="s">
        <v>701</v>
      </c>
      <c r="B591" s="40" t="n">
        <v>46251</v>
      </c>
      <c r="C591" s="39" t="s">
        <v>52</v>
      </c>
      <c r="D591" s="39" t="s">
        <v>38</v>
      </c>
      <c r="E591" s="39" t="s">
        <v>107</v>
      </c>
      <c r="F591" s="39" t="n">
        <v>3</v>
      </c>
      <c r="G591" s="41" t="n">
        <v>688</v>
      </c>
      <c r="H591" s="42" t="n">
        <f aca="false">F591*G591</f>
        <v>2064</v>
      </c>
      <c r="I591" s="39" t="s">
        <v>36</v>
      </c>
      <c r="J591" s="39" t="s">
        <v>42</v>
      </c>
      <c r="K591" s="39" t="n">
        <v>3</v>
      </c>
    </row>
    <row r="592" customFormat="false" ht="15" hidden="false" customHeight="false" outlineLevel="0" collapsed="false">
      <c r="A592" s="39" t="s">
        <v>702</v>
      </c>
      <c r="B592" s="40" t="n">
        <v>46251</v>
      </c>
      <c r="C592" s="39" t="s">
        <v>51</v>
      </c>
      <c r="D592" s="39" t="s">
        <v>38</v>
      </c>
      <c r="E592" s="39" t="s">
        <v>110</v>
      </c>
      <c r="F592" s="39" t="n">
        <v>1</v>
      </c>
      <c r="G592" s="41" t="n">
        <v>498</v>
      </c>
      <c r="H592" s="42" t="n">
        <f aca="false">F592*G592</f>
        <v>498</v>
      </c>
      <c r="I592" s="39" t="s">
        <v>34</v>
      </c>
      <c r="J592" s="39" t="s">
        <v>42</v>
      </c>
      <c r="K592" s="39" t="n">
        <v>6</v>
      </c>
    </row>
    <row r="593" customFormat="false" ht="15" hidden="false" customHeight="false" outlineLevel="0" collapsed="false">
      <c r="A593" s="39" t="s">
        <v>703</v>
      </c>
      <c r="B593" s="40" t="n">
        <v>46251</v>
      </c>
      <c r="C593" s="39" t="s">
        <v>49</v>
      </c>
      <c r="D593" s="39" t="s">
        <v>39</v>
      </c>
      <c r="E593" s="39" t="s">
        <v>99</v>
      </c>
      <c r="F593" s="39" t="n">
        <v>1</v>
      </c>
      <c r="G593" s="41" t="n">
        <v>738</v>
      </c>
      <c r="H593" s="42" t="n">
        <f aca="false">F593*G593</f>
        <v>738</v>
      </c>
      <c r="I593" s="39" t="s">
        <v>34</v>
      </c>
      <c r="J593" s="39" t="s">
        <v>42</v>
      </c>
      <c r="K593" s="39" t="n">
        <v>6</v>
      </c>
    </row>
    <row r="594" customFormat="false" ht="15" hidden="false" customHeight="false" outlineLevel="0" collapsed="false">
      <c r="A594" s="39" t="s">
        <v>704</v>
      </c>
      <c r="B594" s="40" t="n">
        <v>46251</v>
      </c>
      <c r="C594" s="39" t="s">
        <v>52</v>
      </c>
      <c r="D594" s="39" t="s">
        <v>35</v>
      </c>
      <c r="E594" s="39" t="s">
        <v>125</v>
      </c>
      <c r="F594" s="39" t="n">
        <v>1</v>
      </c>
      <c r="G594" s="41" t="n">
        <v>778</v>
      </c>
      <c r="H594" s="42" t="n">
        <f aca="false">F594*G594</f>
        <v>778</v>
      </c>
      <c r="I594" s="39" t="s">
        <v>34</v>
      </c>
      <c r="J594" s="39" t="s">
        <v>42</v>
      </c>
      <c r="K594" s="39" t="n">
        <v>2</v>
      </c>
    </row>
    <row r="595" customFormat="false" ht="15" hidden="false" customHeight="false" outlineLevel="0" collapsed="false">
      <c r="A595" s="39" t="s">
        <v>705</v>
      </c>
      <c r="B595" s="40" t="n">
        <v>46251</v>
      </c>
      <c r="C595" s="39" t="s">
        <v>101</v>
      </c>
      <c r="D595" s="39" t="s">
        <v>37</v>
      </c>
      <c r="E595" s="39" t="s">
        <v>97</v>
      </c>
      <c r="F595" s="39" t="n">
        <v>2</v>
      </c>
      <c r="G595" s="41" t="n">
        <v>288</v>
      </c>
      <c r="H595" s="42" t="n">
        <f aca="false">F595*G595</f>
        <v>576</v>
      </c>
      <c r="I595" s="39" t="s">
        <v>34</v>
      </c>
      <c r="J595" s="39" t="s">
        <v>42</v>
      </c>
      <c r="K595" s="39" t="n">
        <v>3</v>
      </c>
    </row>
    <row r="596" customFormat="false" ht="15" hidden="false" customHeight="false" outlineLevel="0" collapsed="false">
      <c r="A596" s="39" t="s">
        <v>706</v>
      </c>
      <c r="B596" s="40" t="n">
        <v>46252</v>
      </c>
      <c r="C596" s="39" t="s">
        <v>101</v>
      </c>
      <c r="D596" s="39" t="s">
        <v>35</v>
      </c>
      <c r="E596" s="39" t="s">
        <v>95</v>
      </c>
      <c r="F596" s="39" t="n">
        <v>1</v>
      </c>
      <c r="G596" s="41" t="n">
        <v>728</v>
      </c>
      <c r="H596" s="42" t="n">
        <f aca="false">F596*G596</f>
        <v>728</v>
      </c>
      <c r="I596" s="39" t="s">
        <v>34</v>
      </c>
      <c r="J596" s="39" t="s">
        <v>42</v>
      </c>
      <c r="K596" s="39" t="n">
        <v>6</v>
      </c>
    </row>
    <row r="597" customFormat="false" ht="15" hidden="false" customHeight="false" outlineLevel="0" collapsed="false">
      <c r="A597" s="39" t="s">
        <v>707</v>
      </c>
      <c r="B597" s="40" t="n">
        <v>46252</v>
      </c>
      <c r="C597" s="39" t="s">
        <v>53</v>
      </c>
      <c r="D597" s="39" t="s">
        <v>33</v>
      </c>
      <c r="E597" s="39" t="s">
        <v>114</v>
      </c>
      <c r="F597" s="39" t="n">
        <v>1</v>
      </c>
      <c r="G597" s="41" t="n">
        <v>628</v>
      </c>
      <c r="H597" s="42" t="n">
        <f aca="false">F597*G597</f>
        <v>628</v>
      </c>
      <c r="I597" s="39" t="s">
        <v>34</v>
      </c>
      <c r="J597" s="39" t="s">
        <v>42</v>
      </c>
      <c r="K597" s="39" t="n">
        <v>3</v>
      </c>
    </row>
    <row r="598" customFormat="false" ht="15" hidden="false" customHeight="false" outlineLevel="0" collapsed="false">
      <c r="A598" s="39" t="s">
        <v>708</v>
      </c>
      <c r="B598" s="40" t="n">
        <v>46252</v>
      </c>
      <c r="C598" s="39" t="s">
        <v>109</v>
      </c>
      <c r="D598" s="39" t="s">
        <v>39</v>
      </c>
      <c r="E598" s="39" t="s">
        <v>105</v>
      </c>
      <c r="F598" s="39" t="n">
        <v>1</v>
      </c>
      <c r="G598" s="41" t="n">
        <v>918</v>
      </c>
      <c r="H598" s="42" t="n">
        <f aca="false">F598*G598</f>
        <v>918</v>
      </c>
      <c r="I598" s="39" t="s">
        <v>34</v>
      </c>
      <c r="J598" s="39" t="s">
        <v>42</v>
      </c>
      <c r="K598" s="39" t="n">
        <v>4</v>
      </c>
    </row>
    <row r="599" customFormat="false" ht="15" hidden="false" customHeight="false" outlineLevel="0" collapsed="false">
      <c r="A599" s="39" t="s">
        <v>709</v>
      </c>
      <c r="B599" s="40" t="n">
        <v>46252</v>
      </c>
      <c r="C599" s="39" t="s">
        <v>48</v>
      </c>
      <c r="D599" s="39" t="s">
        <v>35</v>
      </c>
      <c r="E599" s="39" t="s">
        <v>159</v>
      </c>
      <c r="F599" s="39" t="n">
        <v>2</v>
      </c>
      <c r="G599" s="41" t="n">
        <v>738</v>
      </c>
      <c r="H599" s="42" t="n">
        <f aca="false">F599*G599</f>
        <v>1476</v>
      </c>
      <c r="I599" s="39" t="s">
        <v>34</v>
      </c>
      <c r="J599" s="39" t="s">
        <v>42</v>
      </c>
      <c r="K599" s="39" t="n">
        <v>3</v>
      </c>
    </row>
    <row r="600" customFormat="false" ht="15" hidden="false" customHeight="false" outlineLevel="0" collapsed="false">
      <c r="A600" s="39" t="s">
        <v>710</v>
      </c>
      <c r="B600" s="40" t="n">
        <v>46252</v>
      </c>
      <c r="C600" s="39" t="s">
        <v>51</v>
      </c>
      <c r="D600" s="39" t="s">
        <v>38</v>
      </c>
      <c r="E600" s="39" t="s">
        <v>110</v>
      </c>
      <c r="F600" s="39" t="n">
        <v>2</v>
      </c>
      <c r="G600" s="41" t="n">
        <v>758</v>
      </c>
      <c r="H600" s="42" t="n">
        <f aca="false">F600*G600</f>
        <v>1516</v>
      </c>
      <c r="I600" s="39" t="s">
        <v>36</v>
      </c>
      <c r="J600" s="39" t="s">
        <v>43</v>
      </c>
      <c r="K600" s="39" t="n">
        <v>3</v>
      </c>
    </row>
    <row r="601" customFormat="false" ht="15" hidden="false" customHeight="false" outlineLevel="0" collapsed="false">
      <c r="A601" s="39" t="s">
        <v>711</v>
      </c>
      <c r="B601" s="40" t="n">
        <v>46252</v>
      </c>
      <c r="C601" s="39" t="s">
        <v>109</v>
      </c>
      <c r="D601" s="39" t="s">
        <v>38</v>
      </c>
      <c r="E601" s="39" t="s">
        <v>110</v>
      </c>
      <c r="F601" s="39" t="n">
        <v>1</v>
      </c>
      <c r="G601" s="41" t="n">
        <v>418</v>
      </c>
      <c r="H601" s="42" t="n">
        <f aca="false">F601*G601</f>
        <v>418</v>
      </c>
      <c r="I601" s="39" t="s">
        <v>34</v>
      </c>
      <c r="J601" s="39" t="s">
        <v>42</v>
      </c>
      <c r="K601" s="39" t="n">
        <v>4</v>
      </c>
    </row>
    <row r="602" customFormat="false" ht="15" hidden="false" customHeight="false" outlineLevel="0" collapsed="false">
      <c r="A602" s="39" t="s">
        <v>712</v>
      </c>
      <c r="B602" s="40" t="n">
        <v>46252</v>
      </c>
      <c r="C602" s="39" t="s">
        <v>53</v>
      </c>
      <c r="D602" s="39" t="s">
        <v>38</v>
      </c>
      <c r="E602" s="39" t="s">
        <v>110</v>
      </c>
      <c r="F602" s="39" t="n">
        <v>1</v>
      </c>
      <c r="G602" s="41" t="n">
        <v>528</v>
      </c>
      <c r="H602" s="42" t="n">
        <f aca="false">F602*G602</f>
        <v>528</v>
      </c>
      <c r="I602" s="39" t="s">
        <v>36</v>
      </c>
      <c r="J602" s="39" t="s">
        <v>47</v>
      </c>
      <c r="K602" s="39"/>
    </row>
    <row r="603" customFormat="false" ht="15" hidden="false" customHeight="false" outlineLevel="0" collapsed="false">
      <c r="A603" s="39" t="s">
        <v>713</v>
      </c>
      <c r="B603" s="40" t="n">
        <v>46252</v>
      </c>
      <c r="C603" s="39" t="s">
        <v>52</v>
      </c>
      <c r="D603" s="39" t="s">
        <v>37</v>
      </c>
      <c r="E603" s="39" t="s">
        <v>141</v>
      </c>
      <c r="F603" s="39" t="n">
        <v>2</v>
      </c>
      <c r="G603" s="41" t="n">
        <v>278</v>
      </c>
      <c r="H603" s="42" t="n">
        <f aca="false">F603*G603</f>
        <v>556</v>
      </c>
      <c r="I603" s="39" t="s">
        <v>34</v>
      </c>
      <c r="J603" s="39" t="s">
        <v>42</v>
      </c>
      <c r="K603" s="39" t="n">
        <v>2</v>
      </c>
    </row>
    <row r="604" customFormat="false" ht="15" hidden="false" customHeight="false" outlineLevel="0" collapsed="false">
      <c r="A604" s="39" t="s">
        <v>714</v>
      </c>
      <c r="B604" s="40" t="n">
        <v>46252</v>
      </c>
      <c r="C604" s="39" t="s">
        <v>109</v>
      </c>
      <c r="D604" s="39" t="s">
        <v>35</v>
      </c>
      <c r="E604" s="39" t="s">
        <v>95</v>
      </c>
      <c r="F604" s="39" t="n">
        <v>1</v>
      </c>
      <c r="G604" s="41" t="n">
        <v>718</v>
      </c>
      <c r="H604" s="42" t="n">
        <f aca="false">F604*G604</f>
        <v>718</v>
      </c>
      <c r="I604" s="39" t="s">
        <v>36</v>
      </c>
      <c r="J604" s="39" t="s">
        <v>42</v>
      </c>
      <c r="K604" s="39" t="n">
        <v>3</v>
      </c>
    </row>
    <row r="605" customFormat="false" ht="15" hidden="false" customHeight="false" outlineLevel="0" collapsed="false">
      <c r="A605" s="39" t="s">
        <v>715</v>
      </c>
      <c r="B605" s="40" t="n">
        <v>46252</v>
      </c>
      <c r="C605" s="39" t="s">
        <v>48</v>
      </c>
      <c r="D605" s="39" t="s">
        <v>39</v>
      </c>
      <c r="E605" s="39" t="s">
        <v>105</v>
      </c>
      <c r="F605" s="39" t="n">
        <v>1</v>
      </c>
      <c r="G605" s="41" t="n">
        <v>478</v>
      </c>
      <c r="H605" s="42" t="n">
        <f aca="false">F605*G605</f>
        <v>478</v>
      </c>
      <c r="I605" s="39" t="s">
        <v>36</v>
      </c>
      <c r="J605" s="39" t="s">
        <v>45</v>
      </c>
      <c r="K605" s="39"/>
    </row>
    <row r="606" customFormat="false" ht="15" hidden="false" customHeight="false" outlineLevel="0" collapsed="false">
      <c r="A606" s="39" t="s">
        <v>716</v>
      </c>
      <c r="B606" s="40" t="n">
        <v>46252</v>
      </c>
      <c r="C606" s="39" t="s">
        <v>51</v>
      </c>
      <c r="D606" s="39" t="s">
        <v>38</v>
      </c>
      <c r="E606" s="39" t="s">
        <v>121</v>
      </c>
      <c r="F606" s="39" t="n">
        <v>2</v>
      </c>
      <c r="G606" s="41" t="n">
        <v>578</v>
      </c>
      <c r="H606" s="42" t="n">
        <f aca="false">F606*G606</f>
        <v>1156</v>
      </c>
      <c r="I606" s="39" t="s">
        <v>36</v>
      </c>
      <c r="J606" s="39" t="s">
        <v>42</v>
      </c>
      <c r="K606" s="39" t="n">
        <v>4</v>
      </c>
    </row>
    <row r="607" customFormat="false" ht="15" hidden="false" customHeight="false" outlineLevel="0" collapsed="false">
      <c r="A607" s="39" t="s">
        <v>717</v>
      </c>
      <c r="B607" s="40" t="n">
        <v>46253</v>
      </c>
      <c r="C607" s="39" t="s">
        <v>101</v>
      </c>
      <c r="D607" s="39" t="s">
        <v>33</v>
      </c>
      <c r="E607" s="39" t="s">
        <v>102</v>
      </c>
      <c r="F607" s="39" t="n">
        <v>2</v>
      </c>
      <c r="G607" s="41" t="n">
        <v>348</v>
      </c>
      <c r="H607" s="42" t="n">
        <f aca="false">F607*G607</f>
        <v>696</v>
      </c>
      <c r="I607" s="39" t="s">
        <v>36</v>
      </c>
      <c r="J607" s="39" t="s">
        <v>47</v>
      </c>
      <c r="K607" s="39"/>
    </row>
    <row r="608" customFormat="false" ht="15" hidden="false" customHeight="false" outlineLevel="0" collapsed="false">
      <c r="A608" s="39" t="s">
        <v>718</v>
      </c>
      <c r="B608" s="40" t="n">
        <v>46253</v>
      </c>
      <c r="C608" s="39" t="s">
        <v>53</v>
      </c>
      <c r="D608" s="39" t="s">
        <v>33</v>
      </c>
      <c r="E608" s="39" t="s">
        <v>136</v>
      </c>
      <c r="F608" s="39" t="n">
        <v>1</v>
      </c>
      <c r="G608" s="41" t="n">
        <v>628</v>
      </c>
      <c r="H608" s="42" t="n">
        <f aca="false">F608*G608</f>
        <v>628</v>
      </c>
      <c r="I608" s="39" t="s">
        <v>34</v>
      </c>
      <c r="J608" s="39" t="s">
        <v>42</v>
      </c>
      <c r="K608" s="39" t="n">
        <v>7</v>
      </c>
    </row>
    <row r="609" customFormat="false" ht="15" hidden="false" customHeight="false" outlineLevel="0" collapsed="false">
      <c r="A609" s="39" t="s">
        <v>719</v>
      </c>
      <c r="B609" s="40" t="n">
        <v>46253</v>
      </c>
      <c r="C609" s="39" t="s">
        <v>109</v>
      </c>
      <c r="D609" s="39" t="s">
        <v>39</v>
      </c>
      <c r="E609" s="39" t="s">
        <v>99</v>
      </c>
      <c r="F609" s="39" t="n">
        <v>1</v>
      </c>
      <c r="G609" s="41" t="n">
        <v>708</v>
      </c>
      <c r="H609" s="42" t="n">
        <f aca="false">F609*G609</f>
        <v>708</v>
      </c>
      <c r="I609" s="39" t="s">
        <v>36</v>
      </c>
      <c r="J609" s="39" t="s">
        <v>42</v>
      </c>
      <c r="K609" s="39" t="n">
        <v>4</v>
      </c>
    </row>
    <row r="610" customFormat="false" ht="15" hidden="false" customHeight="false" outlineLevel="0" collapsed="false">
      <c r="A610" s="39" t="s">
        <v>720</v>
      </c>
      <c r="B610" s="40" t="n">
        <v>46253</v>
      </c>
      <c r="C610" s="39" t="s">
        <v>101</v>
      </c>
      <c r="D610" s="39" t="s">
        <v>33</v>
      </c>
      <c r="E610" s="39" t="s">
        <v>136</v>
      </c>
      <c r="F610" s="39" t="n">
        <v>1</v>
      </c>
      <c r="G610" s="41" t="n">
        <v>648</v>
      </c>
      <c r="H610" s="42" t="n">
        <f aca="false">F610*G610</f>
        <v>648</v>
      </c>
      <c r="I610" s="39" t="s">
        <v>36</v>
      </c>
      <c r="J610" s="39" t="s">
        <v>42</v>
      </c>
      <c r="K610" s="39" t="n">
        <v>4</v>
      </c>
    </row>
    <row r="611" customFormat="false" ht="15" hidden="false" customHeight="false" outlineLevel="0" collapsed="false">
      <c r="A611" s="39" t="s">
        <v>721</v>
      </c>
      <c r="B611" s="40" t="n">
        <v>46253</v>
      </c>
      <c r="C611" s="39" t="s">
        <v>109</v>
      </c>
      <c r="D611" s="39" t="s">
        <v>33</v>
      </c>
      <c r="E611" s="39" t="s">
        <v>136</v>
      </c>
      <c r="F611" s="39" t="n">
        <v>2</v>
      </c>
      <c r="G611" s="41" t="n">
        <v>398</v>
      </c>
      <c r="H611" s="42" t="n">
        <f aca="false">F611*G611</f>
        <v>796</v>
      </c>
      <c r="I611" s="39" t="s">
        <v>34</v>
      </c>
      <c r="J611" s="39" t="s">
        <v>42</v>
      </c>
      <c r="K611" s="39" t="n">
        <v>4</v>
      </c>
    </row>
    <row r="612" customFormat="false" ht="15" hidden="false" customHeight="false" outlineLevel="0" collapsed="false">
      <c r="A612" s="39" t="s">
        <v>722</v>
      </c>
      <c r="B612" s="40" t="n">
        <v>46253</v>
      </c>
      <c r="C612" s="39" t="s">
        <v>101</v>
      </c>
      <c r="D612" s="39" t="s">
        <v>35</v>
      </c>
      <c r="E612" s="39" t="s">
        <v>125</v>
      </c>
      <c r="F612" s="39" t="n">
        <v>1</v>
      </c>
      <c r="G612" s="41" t="n">
        <v>278</v>
      </c>
      <c r="H612" s="42" t="n">
        <f aca="false">F612*G612</f>
        <v>278</v>
      </c>
      <c r="I612" s="39" t="s">
        <v>36</v>
      </c>
      <c r="J612" s="39" t="s">
        <v>42</v>
      </c>
      <c r="K612" s="39" t="n">
        <v>3</v>
      </c>
    </row>
    <row r="613" customFormat="false" ht="15" hidden="false" customHeight="false" outlineLevel="0" collapsed="false">
      <c r="A613" s="39" t="s">
        <v>723</v>
      </c>
      <c r="B613" s="40" t="n">
        <v>46253</v>
      </c>
      <c r="C613" s="39" t="s">
        <v>109</v>
      </c>
      <c r="D613" s="39" t="s">
        <v>39</v>
      </c>
      <c r="E613" s="39" t="s">
        <v>99</v>
      </c>
      <c r="F613" s="39" t="n">
        <v>3</v>
      </c>
      <c r="G613" s="41" t="n">
        <v>738</v>
      </c>
      <c r="H613" s="42" t="n">
        <f aca="false">F613*G613</f>
        <v>2214</v>
      </c>
      <c r="I613" s="39" t="s">
        <v>34</v>
      </c>
      <c r="J613" s="39" t="s">
        <v>42</v>
      </c>
      <c r="K613" s="39" t="n">
        <v>7</v>
      </c>
    </row>
    <row r="614" customFormat="false" ht="15" hidden="false" customHeight="false" outlineLevel="0" collapsed="false">
      <c r="A614" s="39" t="s">
        <v>724</v>
      </c>
      <c r="B614" s="40" t="n">
        <v>46253</v>
      </c>
      <c r="C614" s="39" t="s">
        <v>48</v>
      </c>
      <c r="D614" s="39" t="s">
        <v>38</v>
      </c>
      <c r="E614" s="39" t="s">
        <v>107</v>
      </c>
      <c r="F614" s="39" t="n">
        <v>1</v>
      </c>
      <c r="G614" s="41" t="n">
        <v>978</v>
      </c>
      <c r="H614" s="42" t="n">
        <f aca="false">F614*G614</f>
        <v>978</v>
      </c>
      <c r="I614" s="39" t="s">
        <v>34</v>
      </c>
      <c r="J614" s="39" t="s">
        <v>42</v>
      </c>
      <c r="K614" s="39" t="n">
        <v>4</v>
      </c>
    </row>
    <row r="615" customFormat="false" ht="15" hidden="false" customHeight="false" outlineLevel="0" collapsed="false">
      <c r="A615" s="39" t="s">
        <v>725</v>
      </c>
      <c r="B615" s="40" t="n">
        <v>46253</v>
      </c>
      <c r="C615" s="39" t="s">
        <v>53</v>
      </c>
      <c r="D615" s="39" t="s">
        <v>35</v>
      </c>
      <c r="E615" s="39" t="s">
        <v>95</v>
      </c>
      <c r="F615" s="39" t="n">
        <v>1</v>
      </c>
      <c r="G615" s="41" t="n">
        <v>538</v>
      </c>
      <c r="H615" s="42" t="n">
        <f aca="false">F615*G615</f>
        <v>538</v>
      </c>
      <c r="I615" s="39" t="s">
        <v>36</v>
      </c>
      <c r="J615" s="39" t="s">
        <v>42</v>
      </c>
      <c r="K615" s="39" t="n">
        <v>3</v>
      </c>
    </row>
    <row r="616" customFormat="false" ht="15" hidden="false" customHeight="false" outlineLevel="0" collapsed="false">
      <c r="A616" s="39" t="s">
        <v>726</v>
      </c>
      <c r="B616" s="40" t="n">
        <v>46253</v>
      </c>
      <c r="C616" s="39" t="s">
        <v>50</v>
      </c>
      <c r="D616" s="39" t="s">
        <v>35</v>
      </c>
      <c r="E616" s="39" t="s">
        <v>125</v>
      </c>
      <c r="F616" s="39" t="n">
        <v>1</v>
      </c>
      <c r="G616" s="41" t="n">
        <v>718</v>
      </c>
      <c r="H616" s="42" t="n">
        <f aca="false">F616*G616</f>
        <v>718</v>
      </c>
      <c r="I616" s="39" t="s">
        <v>34</v>
      </c>
      <c r="J616" s="39" t="s">
        <v>42</v>
      </c>
      <c r="K616" s="39" t="n">
        <v>3</v>
      </c>
    </row>
    <row r="617" customFormat="false" ht="15" hidden="false" customHeight="false" outlineLevel="0" collapsed="false">
      <c r="A617" s="39" t="s">
        <v>727</v>
      </c>
      <c r="B617" s="40" t="n">
        <v>46253</v>
      </c>
      <c r="C617" s="39" t="s">
        <v>53</v>
      </c>
      <c r="D617" s="39" t="s">
        <v>38</v>
      </c>
      <c r="E617" s="39" t="s">
        <v>107</v>
      </c>
      <c r="F617" s="39" t="n">
        <v>1</v>
      </c>
      <c r="G617" s="41" t="n">
        <v>578</v>
      </c>
      <c r="H617" s="42" t="n">
        <f aca="false">F617*G617</f>
        <v>578</v>
      </c>
      <c r="I617" s="39" t="s">
        <v>34</v>
      </c>
      <c r="J617" s="39" t="s">
        <v>42</v>
      </c>
      <c r="K617" s="39" t="n">
        <v>6</v>
      </c>
    </row>
    <row r="618" customFormat="false" ht="15" hidden="false" customHeight="false" outlineLevel="0" collapsed="false">
      <c r="A618" s="39" t="s">
        <v>728</v>
      </c>
      <c r="B618" s="40" t="n">
        <v>46253</v>
      </c>
      <c r="C618" s="39" t="s">
        <v>49</v>
      </c>
      <c r="D618" s="39" t="s">
        <v>35</v>
      </c>
      <c r="E618" s="39" t="s">
        <v>159</v>
      </c>
      <c r="F618" s="39" t="n">
        <v>3</v>
      </c>
      <c r="G618" s="41" t="n">
        <v>268</v>
      </c>
      <c r="H618" s="42" t="n">
        <f aca="false">F618*G618</f>
        <v>804</v>
      </c>
      <c r="I618" s="39" t="s">
        <v>36</v>
      </c>
      <c r="J618" s="39" t="s">
        <v>47</v>
      </c>
      <c r="K618" s="39"/>
    </row>
    <row r="619" customFormat="false" ht="15" hidden="false" customHeight="false" outlineLevel="0" collapsed="false">
      <c r="A619" s="39" t="s">
        <v>729</v>
      </c>
      <c r="B619" s="40" t="n">
        <v>46253</v>
      </c>
      <c r="C619" s="39" t="s">
        <v>109</v>
      </c>
      <c r="D619" s="39" t="s">
        <v>38</v>
      </c>
      <c r="E619" s="39" t="s">
        <v>121</v>
      </c>
      <c r="F619" s="39" t="n">
        <v>1</v>
      </c>
      <c r="G619" s="41" t="n">
        <v>668</v>
      </c>
      <c r="H619" s="42" t="n">
        <f aca="false">F619*G619</f>
        <v>668</v>
      </c>
      <c r="I619" s="39" t="s">
        <v>34</v>
      </c>
      <c r="J619" s="39" t="s">
        <v>42</v>
      </c>
      <c r="K619" s="39" t="n">
        <v>2</v>
      </c>
    </row>
    <row r="620" customFormat="false" ht="15" hidden="false" customHeight="false" outlineLevel="0" collapsed="false">
      <c r="A620" s="39" t="s">
        <v>730</v>
      </c>
      <c r="B620" s="40" t="n">
        <v>46253</v>
      </c>
      <c r="C620" s="39" t="s">
        <v>51</v>
      </c>
      <c r="D620" s="39" t="s">
        <v>35</v>
      </c>
      <c r="E620" s="39" t="s">
        <v>95</v>
      </c>
      <c r="F620" s="39" t="n">
        <v>1</v>
      </c>
      <c r="G620" s="41" t="n">
        <v>638</v>
      </c>
      <c r="H620" s="42" t="n">
        <f aca="false">F620*G620</f>
        <v>638</v>
      </c>
      <c r="I620" s="39" t="s">
        <v>34</v>
      </c>
      <c r="J620" s="39" t="s">
        <v>42</v>
      </c>
      <c r="K620" s="39" t="n">
        <v>3</v>
      </c>
    </row>
    <row r="621" customFormat="false" ht="15" hidden="false" customHeight="false" outlineLevel="0" collapsed="false">
      <c r="A621" s="39" t="s">
        <v>731</v>
      </c>
      <c r="B621" s="40" t="n">
        <v>46253</v>
      </c>
      <c r="C621" s="39" t="s">
        <v>50</v>
      </c>
      <c r="D621" s="39" t="s">
        <v>35</v>
      </c>
      <c r="E621" s="39" t="s">
        <v>95</v>
      </c>
      <c r="F621" s="39" t="n">
        <v>2</v>
      </c>
      <c r="G621" s="41" t="n">
        <v>538</v>
      </c>
      <c r="H621" s="42" t="n">
        <f aca="false">F621*G621</f>
        <v>1076</v>
      </c>
      <c r="I621" s="39" t="s">
        <v>34</v>
      </c>
      <c r="J621" s="39" t="s">
        <v>42</v>
      </c>
      <c r="K621" s="39" t="n">
        <v>6</v>
      </c>
    </row>
    <row r="622" customFormat="false" ht="15" hidden="false" customHeight="false" outlineLevel="0" collapsed="false">
      <c r="A622" s="39" t="s">
        <v>732</v>
      </c>
      <c r="B622" s="40" t="n">
        <v>46253</v>
      </c>
      <c r="C622" s="39" t="s">
        <v>101</v>
      </c>
      <c r="D622" s="39" t="s">
        <v>33</v>
      </c>
      <c r="E622" s="39" t="s">
        <v>102</v>
      </c>
      <c r="F622" s="39" t="n">
        <v>1</v>
      </c>
      <c r="G622" s="41" t="n">
        <v>678</v>
      </c>
      <c r="H622" s="42" t="n">
        <f aca="false">F622*G622</f>
        <v>678</v>
      </c>
      <c r="I622" s="39" t="s">
        <v>34</v>
      </c>
      <c r="J622" s="39" t="s">
        <v>42</v>
      </c>
      <c r="K622" s="39" t="n">
        <v>3</v>
      </c>
    </row>
    <row r="623" customFormat="false" ht="15" hidden="false" customHeight="false" outlineLevel="0" collapsed="false">
      <c r="A623" s="39" t="s">
        <v>733</v>
      </c>
      <c r="B623" s="40" t="n">
        <v>46253</v>
      </c>
      <c r="C623" s="39" t="s">
        <v>101</v>
      </c>
      <c r="D623" s="39" t="s">
        <v>35</v>
      </c>
      <c r="E623" s="39" t="s">
        <v>159</v>
      </c>
      <c r="F623" s="39" t="n">
        <v>1</v>
      </c>
      <c r="G623" s="41" t="n">
        <v>678</v>
      </c>
      <c r="H623" s="42" t="n">
        <f aca="false">F623*G623</f>
        <v>678</v>
      </c>
      <c r="I623" s="39" t="s">
        <v>34</v>
      </c>
      <c r="J623" s="39" t="s">
        <v>42</v>
      </c>
      <c r="K623" s="39" t="n">
        <v>3</v>
      </c>
    </row>
    <row r="624" customFormat="false" ht="15" hidden="false" customHeight="false" outlineLevel="0" collapsed="false">
      <c r="A624" s="39" t="s">
        <v>734</v>
      </c>
      <c r="B624" s="40" t="n">
        <v>46254</v>
      </c>
      <c r="C624" s="39" t="s">
        <v>48</v>
      </c>
      <c r="D624" s="39" t="s">
        <v>35</v>
      </c>
      <c r="E624" s="39" t="s">
        <v>159</v>
      </c>
      <c r="F624" s="39" t="n">
        <v>1</v>
      </c>
      <c r="G624" s="41" t="n">
        <v>778</v>
      </c>
      <c r="H624" s="42" t="n">
        <f aca="false">F624*G624</f>
        <v>778</v>
      </c>
      <c r="I624" s="39" t="s">
        <v>36</v>
      </c>
      <c r="J624" s="39" t="s">
        <v>42</v>
      </c>
      <c r="K624" s="39" t="n">
        <v>7</v>
      </c>
    </row>
    <row r="625" customFormat="false" ht="15" hidden="false" customHeight="false" outlineLevel="0" collapsed="false">
      <c r="A625" s="39" t="s">
        <v>735</v>
      </c>
      <c r="B625" s="40" t="n">
        <v>46254</v>
      </c>
      <c r="C625" s="39" t="s">
        <v>53</v>
      </c>
      <c r="D625" s="39" t="s">
        <v>35</v>
      </c>
      <c r="E625" s="39" t="s">
        <v>159</v>
      </c>
      <c r="F625" s="39" t="n">
        <v>3</v>
      </c>
      <c r="G625" s="41" t="n">
        <v>338</v>
      </c>
      <c r="H625" s="42" t="n">
        <f aca="false">F625*G625</f>
        <v>1014</v>
      </c>
      <c r="I625" s="39" t="s">
        <v>34</v>
      </c>
      <c r="J625" s="39" t="s">
        <v>42</v>
      </c>
      <c r="K625" s="39" t="n">
        <v>4</v>
      </c>
    </row>
    <row r="626" customFormat="false" ht="15" hidden="false" customHeight="false" outlineLevel="0" collapsed="false">
      <c r="A626" s="39" t="s">
        <v>736</v>
      </c>
      <c r="B626" s="40" t="n">
        <v>46254</v>
      </c>
      <c r="C626" s="39" t="s">
        <v>101</v>
      </c>
      <c r="D626" s="39" t="s">
        <v>33</v>
      </c>
      <c r="E626" s="39" t="s">
        <v>117</v>
      </c>
      <c r="F626" s="39" t="n">
        <v>1</v>
      </c>
      <c r="G626" s="41" t="n">
        <v>498</v>
      </c>
      <c r="H626" s="42" t="n">
        <f aca="false">F626*G626</f>
        <v>498</v>
      </c>
      <c r="I626" s="39" t="s">
        <v>34</v>
      </c>
      <c r="J626" s="39" t="s">
        <v>42</v>
      </c>
      <c r="K626" s="39" t="n">
        <v>4</v>
      </c>
    </row>
    <row r="627" customFormat="false" ht="15" hidden="false" customHeight="false" outlineLevel="0" collapsed="false">
      <c r="A627" s="39" t="s">
        <v>737</v>
      </c>
      <c r="B627" s="40" t="n">
        <v>46254</v>
      </c>
      <c r="C627" s="39" t="s">
        <v>52</v>
      </c>
      <c r="D627" s="39" t="s">
        <v>33</v>
      </c>
      <c r="E627" s="39" t="s">
        <v>102</v>
      </c>
      <c r="F627" s="39" t="n">
        <v>1</v>
      </c>
      <c r="G627" s="41" t="n">
        <v>368</v>
      </c>
      <c r="H627" s="42" t="n">
        <f aca="false">F627*G627</f>
        <v>368</v>
      </c>
      <c r="I627" s="39" t="s">
        <v>34</v>
      </c>
      <c r="J627" s="39" t="s">
        <v>42</v>
      </c>
      <c r="K627" s="39" t="n">
        <v>2</v>
      </c>
    </row>
    <row r="628" customFormat="false" ht="15" hidden="false" customHeight="false" outlineLevel="0" collapsed="false">
      <c r="A628" s="39" t="s">
        <v>738</v>
      </c>
      <c r="B628" s="40" t="n">
        <v>46254</v>
      </c>
      <c r="C628" s="39" t="s">
        <v>50</v>
      </c>
      <c r="D628" s="39" t="s">
        <v>33</v>
      </c>
      <c r="E628" s="39" t="s">
        <v>114</v>
      </c>
      <c r="F628" s="39" t="n">
        <v>1</v>
      </c>
      <c r="G628" s="41" t="n">
        <v>608</v>
      </c>
      <c r="H628" s="42" t="n">
        <f aca="false">F628*G628</f>
        <v>608</v>
      </c>
      <c r="I628" s="39" t="s">
        <v>36</v>
      </c>
      <c r="J628" s="39" t="s">
        <v>47</v>
      </c>
      <c r="K628" s="39"/>
    </row>
    <row r="629" customFormat="false" ht="15" hidden="false" customHeight="false" outlineLevel="0" collapsed="false">
      <c r="A629" s="39" t="s">
        <v>739</v>
      </c>
      <c r="B629" s="40" t="n">
        <v>46254</v>
      </c>
      <c r="C629" s="39" t="s">
        <v>49</v>
      </c>
      <c r="D629" s="39" t="s">
        <v>35</v>
      </c>
      <c r="E629" s="39" t="s">
        <v>125</v>
      </c>
      <c r="F629" s="39" t="n">
        <v>2</v>
      </c>
      <c r="G629" s="41" t="n">
        <v>348</v>
      </c>
      <c r="H629" s="42" t="n">
        <f aca="false">F629*G629</f>
        <v>696</v>
      </c>
      <c r="I629" s="39" t="s">
        <v>36</v>
      </c>
      <c r="J629" s="39" t="s">
        <v>42</v>
      </c>
      <c r="K629" s="39" t="n">
        <v>6</v>
      </c>
    </row>
    <row r="630" customFormat="false" ht="15" hidden="false" customHeight="false" outlineLevel="0" collapsed="false">
      <c r="A630" s="39" t="s">
        <v>740</v>
      </c>
      <c r="B630" s="40" t="n">
        <v>46254</v>
      </c>
      <c r="C630" s="39" t="s">
        <v>50</v>
      </c>
      <c r="D630" s="39" t="s">
        <v>33</v>
      </c>
      <c r="E630" s="39" t="s">
        <v>117</v>
      </c>
      <c r="F630" s="39" t="n">
        <v>2</v>
      </c>
      <c r="G630" s="41" t="n">
        <v>678</v>
      </c>
      <c r="H630" s="42" t="n">
        <f aca="false">F630*G630</f>
        <v>1356</v>
      </c>
      <c r="I630" s="39" t="s">
        <v>34</v>
      </c>
      <c r="J630" s="39" t="s">
        <v>42</v>
      </c>
      <c r="K630" s="39" t="n">
        <v>6</v>
      </c>
    </row>
    <row r="631" customFormat="false" ht="15" hidden="false" customHeight="false" outlineLevel="0" collapsed="false">
      <c r="A631" s="39" t="s">
        <v>741</v>
      </c>
      <c r="B631" s="40" t="n">
        <v>46254</v>
      </c>
      <c r="C631" s="39" t="s">
        <v>50</v>
      </c>
      <c r="D631" s="39" t="s">
        <v>35</v>
      </c>
      <c r="E631" s="39" t="s">
        <v>95</v>
      </c>
      <c r="F631" s="39" t="n">
        <v>2</v>
      </c>
      <c r="G631" s="41" t="n">
        <v>408</v>
      </c>
      <c r="H631" s="42" t="n">
        <f aca="false">F631*G631</f>
        <v>816</v>
      </c>
      <c r="I631" s="39" t="s">
        <v>34</v>
      </c>
      <c r="J631" s="39" t="s">
        <v>42</v>
      </c>
      <c r="K631" s="39" t="n">
        <v>2</v>
      </c>
    </row>
    <row r="632" customFormat="false" ht="15" hidden="false" customHeight="false" outlineLevel="0" collapsed="false">
      <c r="A632" s="39" t="s">
        <v>742</v>
      </c>
      <c r="B632" s="40" t="n">
        <v>46254</v>
      </c>
      <c r="C632" s="39" t="s">
        <v>53</v>
      </c>
      <c r="D632" s="39" t="s">
        <v>33</v>
      </c>
      <c r="E632" s="39" t="s">
        <v>114</v>
      </c>
      <c r="F632" s="39" t="n">
        <v>1</v>
      </c>
      <c r="G632" s="41" t="n">
        <v>888</v>
      </c>
      <c r="H632" s="42" t="n">
        <f aca="false">F632*G632</f>
        <v>888</v>
      </c>
      <c r="I632" s="39" t="s">
        <v>34</v>
      </c>
      <c r="J632" s="39" t="s">
        <v>42</v>
      </c>
      <c r="K632" s="39" t="n">
        <v>4</v>
      </c>
    </row>
    <row r="633" customFormat="false" ht="15" hidden="false" customHeight="false" outlineLevel="0" collapsed="false">
      <c r="A633" s="39" t="s">
        <v>743</v>
      </c>
      <c r="B633" s="40" t="n">
        <v>46255</v>
      </c>
      <c r="C633" s="39" t="s">
        <v>50</v>
      </c>
      <c r="D633" s="39" t="s">
        <v>39</v>
      </c>
      <c r="E633" s="39" t="s">
        <v>129</v>
      </c>
      <c r="F633" s="39" t="n">
        <v>1</v>
      </c>
      <c r="G633" s="41" t="n">
        <v>538</v>
      </c>
      <c r="H633" s="42" t="n">
        <f aca="false">F633*G633</f>
        <v>538</v>
      </c>
      <c r="I633" s="39" t="s">
        <v>34</v>
      </c>
      <c r="J633" s="39" t="s">
        <v>42</v>
      </c>
      <c r="K633" s="39" t="n">
        <v>4</v>
      </c>
    </row>
    <row r="634" customFormat="false" ht="15" hidden="false" customHeight="false" outlineLevel="0" collapsed="false">
      <c r="A634" s="39" t="s">
        <v>744</v>
      </c>
      <c r="B634" s="40" t="n">
        <v>46255</v>
      </c>
      <c r="C634" s="39" t="s">
        <v>51</v>
      </c>
      <c r="D634" s="39" t="s">
        <v>33</v>
      </c>
      <c r="E634" s="39" t="s">
        <v>102</v>
      </c>
      <c r="F634" s="39" t="n">
        <v>2</v>
      </c>
      <c r="G634" s="41" t="n">
        <v>618</v>
      </c>
      <c r="H634" s="42" t="n">
        <f aca="false">F634*G634</f>
        <v>1236</v>
      </c>
      <c r="I634" s="39" t="s">
        <v>34</v>
      </c>
      <c r="J634" s="39" t="s">
        <v>42</v>
      </c>
      <c r="K634" s="39" t="n">
        <v>4</v>
      </c>
    </row>
    <row r="635" customFormat="false" ht="15" hidden="false" customHeight="false" outlineLevel="0" collapsed="false">
      <c r="A635" s="39" t="s">
        <v>745</v>
      </c>
      <c r="B635" s="40" t="n">
        <v>46255</v>
      </c>
      <c r="C635" s="39" t="s">
        <v>109</v>
      </c>
      <c r="D635" s="39" t="s">
        <v>33</v>
      </c>
      <c r="E635" s="39" t="s">
        <v>102</v>
      </c>
      <c r="F635" s="39" t="n">
        <v>1</v>
      </c>
      <c r="G635" s="41" t="n">
        <v>808</v>
      </c>
      <c r="H635" s="42" t="n">
        <f aca="false">F635*G635</f>
        <v>808</v>
      </c>
      <c r="I635" s="39" t="s">
        <v>34</v>
      </c>
      <c r="J635" s="39" t="s">
        <v>42</v>
      </c>
      <c r="K635" s="39" t="n">
        <v>5</v>
      </c>
    </row>
    <row r="636" customFormat="false" ht="15" hidden="false" customHeight="false" outlineLevel="0" collapsed="false">
      <c r="A636" s="39" t="s">
        <v>746</v>
      </c>
      <c r="B636" s="40" t="n">
        <v>46255</v>
      </c>
      <c r="C636" s="39" t="s">
        <v>48</v>
      </c>
      <c r="D636" s="39" t="s">
        <v>39</v>
      </c>
      <c r="E636" s="39" t="s">
        <v>99</v>
      </c>
      <c r="F636" s="39" t="n">
        <v>1</v>
      </c>
      <c r="G636" s="41" t="n">
        <v>938</v>
      </c>
      <c r="H636" s="42" t="n">
        <f aca="false">F636*G636</f>
        <v>938</v>
      </c>
      <c r="I636" s="39" t="s">
        <v>34</v>
      </c>
      <c r="J636" s="39" t="s">
        <v>42</v>
      </c>
      <c r="K636" s="39" t="n">
        <v>4</v>
      </c>
    </row>
    <row r="637" customFormat="false" ht="15" hidden="false" customHeight="false" outlineLevel="0" collapsed="false">
      <c r="A637" s="39" t="s">
        <v>747</v>
      </c>
      <c r="B637" s="40" t="n">
        <v>46255</v>
      </c>
      <c r="C637" s="39" t="s">
        <v>50</v>
      </c>
      <c r="D637" s="39" t="s">
        <v>33</v>
      </c>
      <c r="E637" s="39" t="s">
        <v>117</v>
      </c>
      <c r="F637" s="39" t="n">
        <v>2</v>
      </c>
      <c r="G637" s="41" t="n">
        <v>588</v>
      </c>
      <c r="H637" s="42" t="n">
        <f aca="false">F637*G637</f>
        <v>1176</v>
      </c>
      <c r="I637" s="39" t="s">
        <v>36</v>
      </c>
      <c r="J637" s="39" t="s">
        <v>42</v>
      </c>
      <c r="K637" s="39" t="n">
        <v>6</v>
      </c>
    </row>
    <row r="638" customFormat="false" ht="15" hidden="false" customHeight="false" outlineLevel="0" collapsed="false">
      <c r="A638" s="39" t="s">
        <v>748</v>
      </c>
      <c r="B638" s="40" t="n">
        <v>46255</v>
      </c>
      <c r="C638" s="39" t="s">
        <v>50</v>
      </c>
      <c r="D638" s="39" t="s">
        <v>33</v>
      </c>
      <c r="E638" s="39" t="s">
        <v>117</v>
      </c>
      <c r="F638" s="39" t="n">
        <v>1</v>
      </c>
      <c r="G638" s="41" t="n">
        <v>428</v>
      </c>
      <c r="H638" s="42" t="n">
        <f aca="false">F638*G638</f>
        <v>428</v>
      </c>
      <c r="I638" s="39" t="s">
        <v>36</v>
      </c>
      <c r="J638" s="39" t="s">
        <v>42</v>
      </c>
      <c r="K638" s="39" t="n">
        <v>3</v>
      </c>
    </row>
    <row r="639" customFormat="false" ht="15" hidden="false" customHeight="false" outlineLevel="0" collapsed="false">
      <c r="A639" s="39" t="s">
        <v>749</v>
      </c>
      <c r="B639" s="40" t="n">
        <v>46256</v>
      </c>
      <c r="C639" s="39" t="s">
        <v>50</v>
      </c>
      <c r="D639" s="39" t="s">
        <v>38</v>
      </c>
      <c r="E639" s="39" t="s">
        <v>110</v>
      </c>
      <c r="F639" s="39" t="n">
        <v>1</v>
      </c>
      <c r="G639" s="41" t="n">
        <v>758</v>
      </c>
      <c r="H639" s="42" t="n">
        <f aca="false">F639*G639</f>
        <v>758</v>
      </c>
      <c r="I639" s="39" t="s">
        <v>34</v>
      </c>
      <c r="J639" s="39" t="s">
        <v>42</v>
      </c>
      <c r="K639" s="39" t="n">
        <v>5</v>
      </c>
    </row>
    <row r="640" customFormat="false" ht="15" hidden="false" customHeight="false" outlineLevel="0" collapsed="false">
      <c r="A640" s="39" t="s">
        <v>750</v>
      </c>
      <c r="B640" s="40" t="n">
        <v>46256</v>
      </c>
      <c r="C640" s="39" t="s">
        <v>50</v>
      </c>
      <c r="D640" s="39" t="s">
        <v>39</v>
      </c>
      <c r="E640" s="39" t="s">
        <v>99</v>
      </c>
      <c r="F640" s="39" t="n">
        <v>1</v>
      </c>
      <c r="G640" s="41" t="n">
        <v>958</v>
      </c>
      <c r="H640" s="42" t="n">
        <f aca="false">F640*G640</f>
        <v>958</v>
      </c>
      <c r="I640" s="39" t="s">
        <v>36</v>
      </c>
      <c r="J640" s="39" t="s">
        <v>42</v>
      </c>
      <c r="K640" s="39" t="n">
        <v>4</v>
      </c>
    </row>
    <row r="641" customFormat="false" ht="15" hidden="false" customHeight="false" outlineLevel="0" collapsed="false">
      <c r="A641" s="39" t="s">
        <v>751</v>
      </c>
      <c r="B641" s="40" t="n">
        <v>46256</v>
      </c>
      <c r="C641" s="39" t="s">
        <v>49</v>
      </c>
      <c r="D641" s="39" t="s">
        <v>37</v>
      </c>
      <c r="E641" s="39" t="s">
        <v>97</v>
      </c>
      <c r="F641" s="39" t="n">
        <v>1</v>
      </c>
      <c r="G641" s="41" t="n">
        <v>278</v>
      </c>
      <c r="H641" s="42" t="n">
        <f aca="false">F641*G641</f>
        <v>278</v>
      </c>
      <c r="I641" s="39" t="s">
        <v>36</v>
      </c>
      <c r="J641" s="39" t="s">
        <v>42</v>
      </c>
      <c r="K641" s="39" t="n">
        <v>6</v>
      </c>
    </row>
    <row r="642" customFormat="false" ht="15" hidden="false" customHeight="false" outlineLevel="0" collapsed="false">
      <c r="A642" s="39" t="s">
        <v>752</v>
      </c>
      <c r="B642" s="40" t="n">
        <v>46256</v>
      </c>
      <c r="C642" s="39" t="s">
        <v>53</v>
      </c>
      <c r="D642" s="39" t="s">
        <v>35</v>
      </c>
      <c r="E642" s="39" t="s">
        <v>95</v>
      </c>
      <c r="F642" s="39" t="n">
        <v>1</v>
      </c>
      <c r="G642" s="41" t="n">
        <v>408</v>
      </c>
      <c r="H642" s="42" t="n">
        <f aca="false">F642*G642</f>
        <v>408</v>
      </c>
      <c r="I642" s="39" t="s">
        <v>34</v>
      </c>
      <c r="J642" s="39" t="s">
        <v>42</v>
      </c>
      <c r="K642" s="39" t="n">
        <v>5</v>
      </c>
    </row>
    <row r="643" customFormat="false" ht="15" hidden="false" customHeight="false" outlineLevel="0" collapsed="false">
      <c r="A643" s="39" t="s">
        <v>753</v>
      </c>
      <c r="B643" s="40" t="n">
        <v>46256</v>
      </c>
      <c r="C643" s="39" t="s">
        <v>51</v>
      </c>
      <c r="D643" s="39" t="s">
        <v>39</v>
      </c>
      <c r="E643" s="39" t="s">
        <v>99</v>
      </c>
      <c r="F643" s="39" t="n">
        <v>1</v>
      </c>
      <c r="G643" s="41" t="n">
        <v>638</v>
      </c>
      <c r="H643" s="42" t="n">
        <f aca="false">F643*G643</f>
        <v>638</v>
      </c>
      <c r="I643" s="39" t="s">
        <v>34</v>
      </c>
      <c r="J643" s="39" t="s">
        <v>42</v>
      </c>
      <c r="K643" s="39" t="n">
        <v>4</v>
      </c>
    </row>
    <row r="644" customFormat="false" ht="15" hidden="false" customHeight="false" outlineLevel="0" collapsed="false">
      <c r="A644" s="39" t="s">
        <v>754</v>
      </c>
      <c r="B644" s="40" t="n">
        <v>46256</v>
      </c>
      <c r="C644" s="39" t="s">
        <v>52</v>
      </c>
      <c r="D644" s="39" t="s">
        <v>35</v>
      </c>
      <c r="E644" s="39" t="s">
        <v>159</v>
      </c>
      <c r="F644" s="39" t="n">
        <v>1</v>
      </c>
      <c r="G644" s="41" t="n">
        <v>268</v>
      </c>
      <c r="H644" s="42" t="n">
        <f aca="false">F644*G644</f>
        <v>268</v>
      </c>
      <c r="I644" s="39" t="s">
        <v>36</v>
      </c>
      <c r="J644" s="39" t="s">
        <v>45</v>
      </c>
      <c r="K644" s="39"/>
    </row>
    <row r="645" customFormat="false" ht="15" hidden="false" customHeight="false" outlineLevel="0" collapsed="false">
      <c r="A645" s="39" t="s">
        <v>755</v>
      </c>
      <c r="B645" s="40" t="n">
        <v>46256</v>
      </c>
      <c r="C645" s="39" t="s">
        <v>53</v>
      </c>
      <c r="D645" s="39" t="s">
        <v>39</v>
      </c>
      <c r="E645" s="39" t="s">
        <v>99</v>
      </c>
      <c r="F645" s="39" t="n">
        <v>1</v>
      </c>
      <c r="G645" s="41" t="n">
        <v>788</v>
      </c>
      <c r="H645" s="42" t="n">
        <f aca="false">F645*G645</f>
        <v>788</v>
      </c>
      <c r="I645" s="39" t="s">
        <v>36</v>
      </c>
      <c r="J645" s="39" t="s">
        <v>42</v>
      </c>
      <c r="K645" s="39" t="n">
        <v>4</v>
      </c>
    </row>
    <row r="646" customFormat="false" ht="15" hidden="false" customHeight="false" outlineLevel="0" collapsed="false">
      <c r="A646" s="39" t="s">
        <v>756</v>
      </c>
      <c r="B646" s="40" t="n">
        <v>46256</v>
      </c>
      <c r="C646" s="39" t="s">
        <v>48</v>
      </c>
      <c r="D646" s="39" t="s">
        <v>33</v>
      </c>
      <c r="E646" s="39" t="s">
        <v>136</v>
      </c>
      <c r="F646" s="39" t="n">
        <v>1</v>
      </c>
      <c r="G646" s="41" t="n">
        <v>328</v>
      </c>
      <c r="H646" s="42" t="n">
        <f aca="false">F646*G646</f>
        <v>328</v>
      </c>
      <c r="I646" s="39" t="s">
        <v>34</v>
      </c>
      <c r="J646" s="39" t="s">
        <v>42</v>
      </c>
      <c r="K646" s="39" t="n">
        <v>3</v>
      </c>
    </row>
    <row r="647" customFormat="false" ht="15" hidden="false" customHeight="false" outlineLevel="0" collapsed="false">
      <c r="A647" s="39" t="s">
        <v>757</v>
      </c>
      <c r="B647" s="40" t="n">
        <v>46256</v>
      </c>
      <c r="C647" s="39" t="s">
        <v>52</v>
      </c>
      <c r="D647" s="39" t="s">
        <v>33</v>
      </c>
      <c r="E647" s="39" t="s">
        <v>114</v>
      </c>
      <c r="F647" s="39" t="n">
        <v>1</v>
      </c>
      <c r="G647" s="41" t="n">
        <v>528</v>
      </c>
      <c r="H647" s="42" t="n">
        <f aca="false">F647*G647</f>
        <v>528</v>
      </c>
      <c r="I647" s="39" t="s">
        <v>34</v>
      </c>
      <c r="J647" s="39" t="s">
        <v>42</v>
      </c>
      <c r="K647" s="39" t="n">
        <v>3</v>
      </c>
    </row>
    <row r="648" customFormat="false" ht="15" hidden="false" customHeight="false" outlineLevel="0" collapsed="false">
      <c r="A648" s="39" t="s">
        <v>758</v>
      </c>
      <c r="B648" s="40" t="n">
        <v>46256</v>
      </c>
      <c r="C648" s="39" t="s">
        <v>109</v>
      </c>
      <c r="D648" s="39" t="s">
        <v>35</v>
      </c>
      <c r="E648" s="39" t="s">
        <v>95</v>
      </c>
      <c r="F648" s="39" t="n">
        <v>1</v>
      </c>
      <c r="G648" s="41" t="n">
        <v>768</v>
      </c>
      <c r="H648" s="42" t="n">
        <f aca="false">F648*G648</f>
        <v>768</v>
      </c>
      <c r="I648" s="39" t="s">
        <v>34</v>
      </c>
      <c r="J648" s="39" t="s">
        <v>42</v>
      </c>
      <c r="K648" s="39" t="n">
        <v>6</v>
      </c>
    </row>
    <row r="649" customFormat="false" ht="15" hidden="false" customHeight="false" outlineLevel="0" collapsed="false">
      <c r="A649" s="39" t="s">
        <v>759</v>
      </c>
      <c r="B649" s="40" t="n">
        <v>46256</v>
      </c>
      <c r="C649" s="39" t="s">
        <v>48</v>
      </c>
      <c r="D649" s="39" t="s">
        <v>37</v>
      </c>
      <c r="E649" s="39" t="s">
        <v>141</v>
      </c>
      <c r="F649" s="39" t="n">
        <v>1</v>
      </c>
      <c r="G649" s="41" t="n">
        <v>438</v>
      </c>
      <c r="H649" s="42" t="n">
        <f aca="false">F649*G649</f>
        <v>438</v>
      </c>
      <c r="I649" s="39" t="s">
        <v>36</v>
      </c>
      <c r="J649" s="39" t="s">
        <v>42</v>
      </c>
      <c r="K649" s="39" t="n">
        <v>3</v>
      </c>
    </row>
    <row r="650" customFormat="false" ht="15" hidden="false" customHeight="false" outlineLevel="0" collapsed="false">
      <c r="A650" s="39" t="s">
        <v>760</v>
      </c>
      <c r="B650" s="40" t="n">
        <v>46256</v>
      </c>
      <c r="C650" s="39" t="s">
        <v>48</v>
      </c>
      <c r="D650" s="39" t="s">
        <v>33</v>
      </c>
      <c r="E650" s="39" t="s">
        <v>114</v>
      </c>
      <c r="F650" s="39" t="n">
        <v>1</v>
      </c>
      <c r="G650" s="41" t="n">
        <v>418</v>
      </c>
      <c r="H650" s="42" t="n">
        <f aca="false">F650*G650</f>
        <v>418</v>
      </c>
      <c r="I650" s="39" t="s">
        <v>34</v>
      </c>
      <c r="J650" s="39" t="s">
        <v>42</v>
      </c>
      <c r="K650" s="39" t="n">
        <v>3</v>
      </c>
    </row>
    <row r="651" customFormat="false" ht="15" hidden="false" customHeight="false" outlineLevel="0" collapsed="false">
      <c r="A651" s="39" t="s">
        <v>761</v>
      </c>
      <c r="B651" s="40" t="n">
        <v>46256</v>
      </c>
      <c r="C651" s="39" t="s">
        <v>53</v>
      </c>
      <c r="D651" s="39" t="s">
        <v>39</v>
      </c>
      <c r="E651" s="39" t="s">
        <v>99</v>
      </c>
      <c r="F651" s="39" t="n">
        <v>1</v>
      </c>
      <c r="G651" s="41" t="n">
        <v>608</v>
      </c>
      <c r="H651" s="42" t="n">
        <f aca="false">F651*G651</f>
        <v>608</v>
      </c>
      <c r="I651" s="39" t="s">
        <v>34</v>
      </c>
      <c r="J651" s="39" t="s">
        <v>42</v>
      </c>
      <c r="K651" s="39" t="n">
        <v>7</v>
      </c>
    </row>
    <row r="652" customFormat="false" ht="15" hidden="false" customHeight="false" outlineLevel="0" collapsed="false">
      <c r="A652" s="39" t="s">
        <v>762</v>
      </c>
      <c r="B652" s="40" t="n">
        <v>46256</v>
      </c>
      <c r="C652" s="39" t="s">
        <v>109</v>
      </c>
      <c r="D652" s="39" t="s">
        <v>35</v>
      </c>
      <c r="E652" s="39" t="s">
        <v>159</v>
      </c>
      <c r="F652" s="39" t="n">
        <v>1</v>
      </c>
      <c r="G652" s="41" t="n">
        <v>518</v>
      </c>
      <c r="H652" s="42" t="n">
        <f aca="false">F652*G652</f>
        <v>518</v>
      </c>
      <c r="I652" s="39" t="s">
        <v>36</v>
      </c>
      <c r="J652" s="39" t="s">
        <v>42</v>
      </c>
      <c r="K652" s="39" t="n">
        <v>3</v>
      </c>
    </row>
    <row r="653" customFormat="false" ht="15" hidden="false" customHeight="false" outlineLevel="0" collapsed="false">
      <c r="A653" s="39" t="s">
        <v>763</v>
      </c>
      <c r="B653" s="40" t="n">
        <v>46256</v>
      </c>
      <c r="C653" s="39" t="s">
        <v>52</v>
      </c>
      <c r="D653" s="39" t="s">
        <v>39</v>
      </c>
      <c r="E653" s="39" t="s">
        <v>99</v>
      </c>
      <c r="F653" s="39" t="n">
        <v>1</v>
      </c>
      <c r="G653" s="41" t="n">
        <v>548</v>
      </c>
      <c r="H653" s="42" t="n">
        <f aca="false">F653*G653</f>
        <v>548</v>
      </c>
      <c r="I653" s="39" t="s">
        <v>36</v>
      </c>
      <c r="J653" s="39" t="s">
        <v>45</v>
      </c>
      <c r="K653" s="39"/>
    </row>
    <row r="654" customFormat="false" ht="15" hidden="false" customHeight="false" outlineLevel="0" collapsed="false">
      <c r="A654" s="39" t="s">
        <v>764</v>
      </c>
      <c r="B654" s="40" t="n">
        <v>46257</v>
      </c>
      <c r="C654" s="39" t="s">
        <v>48</v>
      </c>
      <c r="D654" s="39" t="s">
        <v>38</v>
      </c>
      <c r="E654" s="39" t="s">
        <v>107</v>
      </c>
      <c r="F654" s="39" t="n">
        <v>2</v>
      </c>
      <c r="G654" s="41" t="n">
        <v>978</v>
      </c>
      <c r="H654" s="42" t="n">
        <f aca="false">F654*G654</f>
        <v>1956</v>
      </c>
      <c r="I654" s="39" t="s">
        <v>34</v>
      </c>
      <c r="J654" s="39" t="s">
        <v>42</v>
      </c>
      <c r="K654" s="39" t="n">
        <v>5</v>
      </c>
    </row>
    <row r="655" customFormat="false" ht="15" hidden="false" customHeight="false" outlineLevel="0" collapsed="false">
      <c r="A655" s="39" t="s">
        <v>765</v>
      </c>
      <c r="B655" s="40" t="n">
        <v>46257</v>
      </c>
      <c r="C655" s="39" t="s">
        <v>53</v>
      </c>
      <c r="D655" s="39" t="s">
        <v>33</v>
      </c>
      <c r="E655" s="39" t="s">
        <v>114</v>
      </c>
      <c r="F655" s="39" t="n">
        <v>3</v>
      </c>
      <c r="G655" s="41" t="n">
        <v>588</v>
      </c>
      <c r="H655" s="42" t="n">
        <f aca="false">F655*G655</f>
        <v>1764</v>
      </c>
      <c r="I655" s="39" t="s">
        <v>34</v>
      </c>
      <c r="J655" s="39" t="s">
        <v>42</v>
      </c>
      <c r="K655" s="39" t="n">
        <v>3</v>
      </c>
    </row>
    <row r="656" customFormat="false" ht="15" hidden="false" customHeight="false" outlineLevel="0" collapsed="false">
      <c r="A656" s="39" t="s">
        <v>766</v>
      </c>
      <c r="B656" s="40" t="n">
        <v>46257</v>
      </c>
      <c r="C656" s="39" t="s">
        <v>53</v>
      </c>
      <c r="D656" s="39" t="s">
        <v>33</v>
      </c>
      <c r="E656" s="39" t="s">
        <v>102</v>
      </c>
      <c r="F656" s="39" t="n">
        <v>1</v>
      </c>
      <c r="G656" s="41" t="n">
        <v>848</v>
      </c>
      <c r="H656" s="42" t="n">
        <f aca="false">F656*G656</f>
        <v>848</v>
      </c>
      <c r="I656" s="39" t="s">
        <v>34</v>
      </c>
      <c r="J656" s="39" t="s">
        <v>43</v>
      </c>
      <c r="K656" s="39" t="n">
        <v>5</v>
      </c>
    </row>
    <row r="657" customFormat="false" ht="15" hidden="false" customHeight="false" outlineLevel="0" collapsed="false">
      <c r="A657" s="39" t="s">
        <v>767</v>
      </c>
      <c r="B657" s="40" t="n">
        <v>46257</v>
      </c>
      <c r="C657" s="39" t="s">
        <v>49</v>
      </c>
      <c r="D657" s="39" t="s">
        <v>37</v>
      </c>
      <c r="E657" s="39" t="s">
        <v>97</v>
      </c>
      <c r="F657" s="39" t="n">
        <v>1</v>
      </c>
      <c r="G657" s="41" t="n">
        <v>408</v>
      </c>
      <c r="H657" s="42" t="n">
        <f aca="false">F657*G657</f>
        <v>408</v>
      </c>
      <c r="I657" s="39" t="s">
        <v>36</v>
      </c>
      <c r="J657" s="39" t="s">
        <v>42</v>
      </c>
      <c r="K657" s="39" t="n">
        <v>5</v>
      </c>
    </row>
    <row r="658" customFormat="false" ht="15" hidden="false" customHeight="false" outlineLevel="0" collapsed="false">
      <c r="A658" s="39" t="s">
        <v>768</v>
      </c>
      <c r="B658" s="40" t="n">
        <v>46257</v>
      </c>
      <c r="C658" s="39" t="s">
        <v>49</v>
      </c>
      <c r="D658" s="39" t="s">
        <v>33</v>
      </c>
      <c r="E658" s="39" t="s">
        <v>136</v>
      </c>
      <c r="F658" s="39" t="n">
        <v>2</v>
      </c>
      <c r="G658" s="41" t="n">
        <v>728</v>
      </c>
      <c r="H658" s="42" t="n">
        <f aca="false">F658*G658</f>
        <v>1456</v>
      </c>
      <c r="I658" s="39" t="s">
        <v>34</v>
      </c>
      <c r="J658" s="39" t="s">
        <v>42</v>
      </c>
      <c r="K658" s="39" t="n">
        <v>2</v>
      </c>
    </row>
    <row r="659" customFormat="false" ht="15" hidden="false" customHeight="false" outlineLevel="0" collapsed="false">
      <c r="A659" s="39" t="s">
        <v>769</v>
      </c>
      <c r="B659" s="40" t="n">
        <v>46257</v>
      </c>
      <c r="C659" s="39" t="s">
        <v>51</v>
      </c>
      <c r="D659" s="39" t="s">
        <v>35</v>
      </c>
      <c r="E659" s="39" t="s">
        <v>125</v>
      </c>
      <c r="F659" s="39" t="n">
        <v>1</v>
      </c>
      <c r="G659" s="41" t="n">
        <v>428</v>
      </c>
      <c r="H659" s="42" t="n">
        <f aca="false">F659*G659</f>
        <v>428</v>
      </c>
      <c r="I659" s="39" t="s">
        <v>36</v>
      </c>
      <c r="J659" s="39" t="s">
        <v>42</v>
      </c>
      <c r="K659" s="39" t="n">
        <v>3</v>
      </c>
    </row>
    <row r="660" customFormat="false" ht="15" hidden="false" customHeight="false" outlineLevel="0" collapsed="false">
      <c r="A660" s="39" t="s">
        <v>770</v>
      </c>
      <c r="B660" s="40" t="n">
        <v>46257</v>
      </c>
      <c r="C660" s="39" t="s">
        <v>50</v>
      </c>
      <c r="D660" s="39" t="s">
        <v>35</v>
      </c>
      <c r="E660" s="39" t="s">
        <v>95</v>
      </c>
      <c r="F660" s="39" t="n">
        <v>2</v>
      </c>
      <c r="G660" s="41" t="n">
        <v>348</v>
      </c>
      <c r="H660" s="42" t="n">
        <f aca="false">F660*G660</f>
        <v>696</v>
      </c>
      <c r="I660" s="39" t="s">
        <v>36</v>
      </c>
      <c r="J660" s="39" t="s">
        <v>42</v>
      </c>
      <c r="K660" s="39" t="n">
        <v>5</v>
      </c>
    </row>
    <row r="661" customFormat="false" ht="15" hidden="false" customHeight="false" outlineLevel="0" collapsed="false">
      <c r="A661" s="39" t="s">
        <v>771</v>
      </c>
      <c r="B661" s="40" t="n">
        <v>46257</v>
      </c>
      <c r="C661" s="39" t="s">
        <v>49</v>
      </c>
      <c r="D661" s="39" t="s">
        <v>38</v>
      </c>
      <c r="E661" s="39" t="s">
        <v>121</v>
      </c>
      <c r="F661" s="39" t="n">
        <v>2</v>
      </c>
      <c r="G661" s="41" t="n">
        <v>538</v>
      </c>
      <c r="H661" s="42" t="n">
        <f aca="false">F661*G661</f>
        <v>1076</v>
      </c>
      <c r="I661" s="39" t="s">
        <v>34</v>
      </c>
      <c r="J661" s="39" t="s">
        <v>42</v>
      </c>
      <c r="K661" s="39" t="n">
        <v>3</v>
      </c>
    </row>
    <row r="662" customFormat="false" ht="15" hidden="false" customHeight="false" outlineLevel="0" collapsed="false">
      <c r="A662" s="39" t="s">
        <v>772</v>
      </c>
      <c r="B662" s="40" t="n">
        <v>46257</v>
      </c>
      <c r="C662" s="39" t="s">
        <v>101</v>
      </c>
      <c r="D662" s="39" t="s">
        <v>35</v>
      </c>
      <c r="E662" s="39" t="s">
        <v>159</v>
      </c>
      <c r="F662" s="39" t="n">
        <v>1</v>
      </c>
      <c r="G662" s="41" t="n">
        <v>748</v>
      </c>
      <c r="H662" s="42" t="n">
        <f aca="false">F662*G662</f>
        <v>748</v>
      </c>
      <c r="I662" s="39" t="s">
        <v>34</v>
      </c>
      <c r="J662" s="39" t="s">
        <v>42</v>
      </c>
      <c r="K662" s="39" t="n">
        <v>3</v>
      </c>
    </row>
    <row r="663" customFormat="false" ht="15" hidden="false" customHeight="false" outlineLevel="0" collapsed="false">
      <c r="A663" s="39" t="s">
        <v>773</v>
      </c>
      <c r="B663" s="40" t="n">
        <v>46257</v>
      </c>
      <c r="C663" s="39" t="s">
        <v>50</v>
      </c>
      <c r="D663" s="39" t="s">
        <v>38</v>
      </c>
      <c r="E663" s="39" t="s">
        <v>121</v>
      </c>
      <c r="F663" s="39" t="n">
        <v>1</v>
      </c>
      <c r="G663" s="41" t="n">
        <v>568</v>
      </c>
      <c r="H663" s="42" t="n">
        <f aca="false">F663*G663</f>
        <v>568</v>
      </c>
      <c r="I663" s="39" t="s">
        <v>34</v>
      </c>
      <c r="J663" s="39" t="s">
        <v>42</v>
      </c>
      <c r="K663" s="39" t="n">
        <v>3</v>
      </c>
    </row>
    <row r="664" customFormat="false" ht="15" hidden="false" customHeight="false" outlineLevel="0" collapsed="false">
      <c r="A664" s="39" t="s">
        <v>774</v>
      </c>
      <c r="B664" s="40" t="n">
        <v>46257</v>
      </c>
      <c r="C664" s="39" t="s">
        <v>50</v>
      </c>
      <c r="D664" s="39" t="s">
        <v>38</v>
      </c>
      <c r="E664" s="39" t="s">
        <v>121</v>
      </c>
      <c r="F664" s="39" t="n">
        <v>1</v>
      </c>
      <c r="G664" s="41" t="n">
        <v>538</v>
      </c>
      <c r="H664" s="42" t="n">
        <f aca="false">F664*G664</f>
        <v>538</v>
      </c>
      <c r="I664" s="39" t="s">
        <v>34</v>
      </c>
      <c r="J664" s="39" t="s">
        <v>42</v>
      </c>
      <c r="K664" s="39" t="n">
        <v>6</v>
      </c>
    </row>
    <row r="665" customFormat="false" ht="15" hidden="false" customHeight="false" outlineLevel="0" collapsed="false">
      <c r="A665" s="39" t="s">
        <v>775</v>
      </c>
      <c r="B665" s="40" t="n">
        <v>46257</v>
      </c>
      <c r="C665" s="39" t="s">
        <v>48</v>
      </c>
      <c r="D665" s="39" t="s">
        <v>39</v>
      </c>
      <c r="E665" s="39" t="s">
        <v>99</v>
      </c>
      <c r="F665" s="39" t="n">
        <v>1</v>
      </c>
      <c r="G665" s="41" t="n">
        <v>538</v>
      </c>
      <c r="H665" s="42" t="n">
        <f aca="false">F665*G665</f>
        <v>538</v>
      </c>
      <c r="I665" s="39" t="s">
        <v>34</v>
      </c>
      <c r="J665" s="39" t="s">
        <v>42</v>
      </c>
      <c r="K665" s="39" t="n">
        <v>4</v>
      </c>
    </row>
    <row r="666" customFormat="false" ht="15" hidden="false" customHeight="false" outlineLevel="0" collapsed="false">
      <c r="A666" s="39" t="s">
        <v>776</v>
      </c>
      <c r="B666" s="40" t="n">
        <v>46257</v>
      </c>
      <c r="C666" s="39" t="s">
        <v>51</v>
      </c>
      <c r="D666" s="39" t="s">
        <v>38</v>
      </c>
      <c r="E666" s="39" t="s">
        <v>107</v>
      </c>
      <c r="F666" s="39" t="n">
        <v>1</v>
      </c>
      <c r="G666" s="41" t="n">
        <v>898</v>
      </c>
      <c r="H666" s="42" t="n">
        <f aca="false">F666*G666</f>
        <v>898</v>
      </c>
      <c r="I666" s="39" t="s">
        <v>34</v>
      </c>
      <c r="J666" s="39" t="s">
        <v>42</v>
      </c>
      <c r="K666" s="39" t="n">
        <v>4</v>
      </c>
    </row>
    <row r="667" customFormat="false" ht="15" hidden="false" customHeight="false" outlineLevel="0" collapsed="false">
      <c r="A667" s="39" t="s">
        <v>777</v>
      </c>
      <c r="B667" s="40" t="n">
        <v>46257</v>
      </c>
      <c r="C667" s="39" t="s">
        <v>53</v>
      </c>
      <c r="D667" s="39" t="s">
        <v>39</v>
      </c>
      <c r="E667" s="39" t="s">
        <v>105</v>
      </c>
      <c r="F667" s="39" t="n">
        <v>1</v>
      </c>
      <c r="G667" s="41" t="n">
        <v>718</v>
      </c>
      <c r="H667" s="42" t="n">
        <f aca="false">F667*G667</f>
        <v>718</v>
      </c>
      <c r="I667" s="39" t="s">
        <v>34</v>
      </c>
      <c r="J667" s="39" t="s">
        <v>42</v>
      </c>
      <c r="K667" s="39" t="n">
        <v>7</v>
      </c>
    </row>
    <row r="668" customFormat="false" ht="15" hidden="false" customHeight="false" outlineLevel="0" collapsed="false">
      <c r="A668" s="39" t="s">
        <v>778</v>
      </c>
      <c r="B668" s="40" t="n">
        <v>46257</v>
      </c>
      <c r="C668" s="39" t="s">
        <v>51</v>
      </c>
      <c r="D668" s="39" t="s">
        <v>33</v>
      </c>
      <c r="E668" s="39" t="s">
        <v>117</v>
      </c>
      <c r="F668" s="39" t="n">
        <v>1</v>
      </c>
      <c r="G668" s="41" t="n">
        <v>678</v>
      </c>
      <c r="H668" s="42" t="n">
        <f aca="false">F668*G668</f>
        <v>678</v>
      </c>
      <c r="I668" s="39" t="s">
        <v>36</v>
      </c>
      <c r="J668" s="39" t="s">
        <v>42</v>
      </c>
      <c r="K668" s="39" t="n">
        <v>3</v>
      </c>
    </row>
    <row r="669" customFormat="false" ht="15" hidden="false" customHeight="false" outlineLevel="0" collapsed="false">
      <c r="A669" s="39" t="s">
        <v>779</v>
      </c>
      <c r="B669" s="40" t="n">
        <v>46257</v>
      </c>
      <c r="C669" s="39" t="s">
        <v>109</v>
      </c>
      <c r="D669" s="39" t="s">
        <v>33</v>
      </c>
      <c r="E669" s="39" t="s">
        <v>114</v>
      </c>
      <c r="F669" s="39" t="n">
        <v>1</v>
      </c>
      <c r="G669" s="41" t="n">
        <v>848</v>
      </c>
      <c r="H669" s="42" t="n">
        <f aca="false">F669*G669</f>
        <v>848</v>
      </c>
      <c r="I669" s="39" t="s">
        <v>36</v>
      </c>
      <c r="J669" s="39" t="s">
        <v>42</v>
      </c>
      <c r="K669" s="39" t="n">
        <v>3</v>
      </c>
    </row>
    <row r="670" customFormat="false" ht="15" hidden="false" customHeight="false" outlineLevel="0" collapsed="false">
      <c r="A670" s="39" t="s">
        <v>780</v>
      </c>
      <c r="B670" s="40" t="n">
        <v>46257</v>
      </c>
      <c r="C670" s="39" t="s">
        <v>52</v>
      </c>
      <c r="D670" s="39" t="s">
        <v>35</v>
      </c>
      <c r="E670" s="39" t="s">
        <v>125</v>
      </c>
      <c r="F670" s="39" t="n">
        <v>1</v>
      </c>
      <c r="G670" s="41" t="n">
        <v>538</v>
      </c>
      <c r="H670" s="42" t="n">
        <f aca="false">F670*G670</f>
        <v>538</v>
      </c>
      <c r="I670" s="39" t="s">
        <v>36</v>
      </c>
      <c r="J670" s="39" t="s">
        <v>42</v>
      </c>
      <c r="K670" s="39" t="n">
        <v>4</v>
      </c>
    </row>
    <row r="671" customFormat="false" ht="15" hidden="false" customHeight="false" outlineLevel="0" collapsed="false">
      <c r="A671" s="39" t="s">
        <v>781</v>
      </c>
      <c r="B671" s="40" t="n">
        <v>46257</v>
      </c>
      <c r="C671" s="39" t="s">
        <v>101</v>
      </c>
      <c r="D671" s="39" t="s">
        <v>38</v>
      </c>
      <c r="E671" s="39" t="s">
        <v>110</v>
      </c>
      <c r="F671" s="39" t="n">
        <v>2</v>
      </c>
      <c r="G671" s="41" t="n">
        <v>378</v>
      </c>
      <c r="H671" s="42" t="n">
        <f aca="false">F671*G671</f>
        <v>756</v>
      </c>
      <c r="I671" s="39" t="s">
        <v>36</v>
      </c>
      <c r="J671" s="39" t="s">
        <v>47</v>
      </c>
      <c r="K671" s="39"/>
    </row>
    <row r="672" customFormat="false" ht="15" hidden="false" customHeight="false" outlineLevel="0" collapsed="false">
      <c r="A672" s="39" t="s">
        <v>782</v>
      </c>
      <c r="B672" s="40" t="n">
        <v>46258</v>
      </c>
      <c r="C672" s="39" t="s">
        <v>109</v>
      </c>
      <c r="D672" s="39" t="s">
        <v>37</v>
      </c>
      <c r="E672" s="39" t="s">
        <v>97</v>
      </c>
      <c r="F672" s="39" t="n">
        <v>1</v>
      </c>
      <c r="G672" s="41" t="n">
        <v>238</v>
      </c>
      <c r="H672" s="42" t="n">
        <f aca="false">F672*G672</f>
        <v>238</v>
      </c>
      <c r="I672" s="39" t="s">
        <v>36</v>
      </c>
      <c r="J672" s="39" t="s">
        <v>42</v>
      </c>
      <c r="K672" s="39" t="n">
        <v>3</v>
      </c>
    </row>
    <row r="673" customFormat="false" ht="15" hidden="false" customHeight="false" outlineLevel="0" collapsed="false">
      <c r="A673" s="39" t="s">
        <v>783</v>
      </c>
      <c r="B673" s="40" t="n">
        <v>46258</v>
      </c>
      <c r="C673" s="39" t="s">
        <v>50</v>
      </c>
      <c r="D673" s="39" t="s">
        <v>39</v>
      </c>
      <c r="E673" s="39" t="s">
        <v>99</v>
      </c>
      <c r="F673" s="39" t="n">
        <v>2</v>
      </c>
      <c r="G673" s="41" t="n">
        <v>608</v>
      </c>
      <c r="H673" s="42" t="n">
        <f aca="false">F673*G673</f>
        <v>1216</v>
      </c>
      <c r="I673" s="39" t="s">
        <v>34</v>
      </c>
      <c r="J673" s="39" t="s">
        <v>42</v>
      </c>
      <c r="K673" s="39" t="n">
        <v>4</v>
      </c>
    </row>
    <row r="674" customFormat="false" ht="15" hidden="false" customHeight="false" outlineLevel="0" collapsed="false">
      <c r="A674" s="39" t="s">
        <v>784</v>
      </c>
      <c r="B674" s="40" t="n">
        <v>46258</v>
      </c>
      <c r="C674" s="39" t="s">
        <v>101</v>
      </c>
      <c r="D674" s="39" t="s">
        <v>37</v>
      </c>
      <c r="E674" s="39" t="s">
        <v>97</v>
      </c>
      <c r="F674" s="39" t="n">
        <v>1</v>
      </c>
      <c r="G674" s="41" t="n">
        <v>628</v>
      </c>
      <c r="H674" s="42" t="n">
        <f aca="false">F674*G674</f>
        <v>628</v>
      </c>
      <c r="I674" s="39" t="s">
        <v>34</v>
      </c>
      <c r="J674" s="39" t="s">
        <v>42</v>
      </c>
      <c r="K674" s="39" t="n">
        <v>4</v>
      </c>
    </row>
    <row r="675" customFormat="false" ht="15" hidden="false" customHeight="false" outlineLevel="0" collapsed="false">
      <c r="A675" s="39" t="s">
        <v>785</v>
      </c>
      <c r="B675" s="40" t="n">
        <v>46258</v>
      </c>
      <c r="C675" s="39" t="s">
        <v>50</v>
      </c>
      <c r="D675" s="39" t="s">
        <v>33</v>
      </c>
      <c r="E675" s="39" t="s">
        <v>114</v>
      </c>
      <c r="F675" s="39" t="n">
        <v>1</v>
      </c>
      <c r="G675" s="41" t="n">
        <v>468</v>
      </c>
      <c r="H675" s="42" t="n">
        <f aca="false">F675*G675</f>
        <v>468</v>
      </c>
      <c r="I675" s="39" t="s">
        <v>36</v>
      </c>
      <c r="J675" s="39" t="s">
        <v>42</v>
      </c>
      <c r="K675" s="39" t="n">
        <v>5</v>
      </c>
    </row>
    <row r="676" customFormat="false" ht="15" hidden="false" customHeight="false" outlineLevel="0" collapsed="false">
      <c r="A676" s="39" t="s">
        <v>786</v>
      </c>
      <c r="B676" s="40" t="n">
        <v>46258</v>
      </c>
      <c r="C676" s="39" t="s">
        <v>101</v>
      </c>
      <c r="D676" s="39" t="s">
        <v>37</v>
      </c>
      <c r="E676" s="39" t="s">
        <v>141</v>
      </c>
      <c r="F676" s="39" t="n">
        <v>1</v>
      </c>
      <c r="G676" s="41" t="n">
        <v>238</v>
      </c>
      <c r="H676" s="42" t="n">
        <f aca="false">F676*G676</f>
        <v>238</v>
      </c>
      <c r="I676" s="39" t="s">
        <v>36</v>
      </c>
      <c r="J676" s="39" t="s">
        <v>47</v>
      </c>
      <c r="K676" s="39"/>
    </row>
    <row r="677" customFormat="false" ht="15" hidden="false" customHeight="false" outlineLevel="0" collapsed="false">
      <c r="A677" s="39" t="s">
        <v>787</v>
      </c>
      <c r="B677" s="40" t="n">
        <v>46258</v>
      </c>
      <c r="C677" s="39" t="s">
        <v>101</v>
      </c>
      <c r="D677" s="39" t="s">
        <v>35</v>
      </c>
      <c r="E677" s="39" t="s">
        <v>95</v>
      </c>
      <c r="F677" s="39" t="n">
        <v>1</v>
      </c>
      <c r="G677" s="41" t="n">
        <v>448</v>
      </c>
      <c r="H677" s="42" t="n">
        <f aca="false">F677*G677</f>
        <v>448</v>
      </c>
      <c r="I677" s="39" t="s">
        <v>36</v>
      </c>
      <c r="J677" s="39" t="s">
        <v>42</v>
      </c>
      <c r="K677" s="39" t="n">
        <v>2</v>
      </c>
    </row>
    <row r="678" customFormat="false" ht="15" hidden="false" customHeight="false" outlineLevel="0" collapsed="false">
      <c r="A678" s="39" t="s">
        <v>788</v>
      </c>
      <c r="B678" s="40" t="n">
        <v>46258</v>
      </c>
      <c r="C678" s="39" t="s">
        <v>52</v>
      </c>
      <c r="D678" s="39" t="s">
        <v>35</v>
      </c>
      <c r="E678" s="39" t="s">
        <v>159</v>
      </c>
      <c r="F678" s="39" t="n">
        <v>1</v>
      </c>
      <c r="G678" s="41" t="n">
        <v>738</v>
      </c>
      <c r="H678" s="42" t="n">
        <f aca="false">F678*G678</f>
        <v>738</v>
      </c>
      <c r="I678" s="39" t="s">
        <v>36</v>
      </c>
      <c r="J678" s="39" t="s">
        <v>42</v>
      </c>
      <c r="K678" s="39" t="n">
        <v>4</v>
      </c>
    </row>
    <row r="679" customFormat="false" ht="15" hidden="false" customHeight="false" outlineLevel="0" collapsed="false">
      <c r="A679" s="39" t="s">
        <v>789</v>
      </c>
      <c r="B679" s="40" t="n">
        <v>46258</v>
      </c>
      <c r="C679" s="39" t="s">
        <v>49</v>
      </c>
      <c r="D679" s="39" t="s">
        <v>37</v>
      </c>
      <c r="E679" s="39" t="s">
        <v>131</v>
      </c>
      <c r="F679" s="39" t="n">
        <v>1</v>
      </c>
      <c r="G679" s="41" t="n">
        <v>428</v>
      </c>
      <c r="H679" s="42" t="n">
        <f aca="false">F679*G679</f>
        <v>428</v>
      </c>
      <c r="I679" s="39" t="s">
        <v>34</v>
      </c>
      <c r="J679" s="39" t="s">
        <v>42</v>
      </c>
      <c r="K679" s="39" t="n">
        <v>3</v>
      </c>
    </row>
    <row r="680" customFormat="false" ht="15" hidden="false" customHeight="false" outlineLevel="0" collapsed="false">
      <c r="A680" s="39" t="s">
        <v>790</v>
      </c>
      <c r="B680" s="40" t="n">
        <v>46258</v>
      </c>
      <c r="C680" s="39" t="s">
        <v>49</v>
      </c>
      <c r="D680" s="39" t="s">
        <v>39</v>
      </c>
      <c r="E680" s="39" t="s">
        <v>129</v>
      </c>
      <c r="F680" s="39" t="n">
        <v>3</v>
      </c>
      <c r="G680" s="41" t="n">
        <v>498</v>
      </c>
      <c r="H680" s="42" t="n">
        <f aca="false">F680*G680</f>
        <v>1494</v>
      </c>
      <c r="I680" s="39" t="s">
        <v>36</v>
      </c>
      <c r="J680" s="39" t="s">
        <v>45</v>
      </c>
      <c r="K680" s="39"/>
    </row>
    <row r="681" customFormat="false" ht="15" hidden="false" customHeight="false" outlineLevel="0" collapsed="false">
      <c r="A681" s="39" t="s">
        <v>791</v>
      </c>
      <c r="B681" s="40" t="n">
        <v>46258</v>
      </c>
      <c r="C681" s="39" t="s">
        <v>51</v>
      </c>
      <c r="D681" s="39" t="s">
        <v>39</v>
      </c>
      <c r="E681" s="39" t="s">
        <v>105</v>
      </c>
      <c r="F681" s="39" t="n">
        <v>2</v>
      </c>
      <c r="G681" s="41" t="n">
        <v>508</v>
      </c>
      <c r="H681" s="42" t="n">
        <f aca="false">F681*G681</f>
        <v>1016</v>
      </c>
      <c r="I681" s="39" t="s">
        <v>36</v>
      </c>
      <c r="J681" s="39" t="s">
        <v>42</v>
      </c>
      <c r="K681" s="39" t="n">
        <v>3</v>
      </c>
    </row>
    <row r="682" customFormat="false" ht="15" hidden="false" customHeight="false" outlineLevel="0" collapsed="false">
      <c r="A682" s="39" t="s">
        <v>792</v>
      </c>
      <c r="B682" s="40" t="n">
        <v>46258</v>
      </c>
      <c r="C682" s="39" t="s">
        <v>53</v>
      </c>
      <c r="D682" s="39" t="s">
        <v>35</v>
      </c>
      <c r="E682" s="39" t="s">
        <v>125</v>
      </c>
      <c r="F682" s="39" t="n">
        <v>1</v>
      </c>
      <c r="G682" s="41" t="n">
        <v>508</v>
      </c>
      <c r="H682" s="42" t="n">
        <f aca="false">F682*G682</f>
        <v>508</v>
      </c>
      <c r="I682" s="39" t="s">
        <v>34</v>
      </c>
      <c r="J682" s="39" t="s">
        <v>42</v>
      </c>
      <c r="K682" s="39" t="n">
        <v>4</v>
      </c>
    </row>
    <row r="683" customFormat="false" ht="15" hidden="false" customHeight="false" outlineLevel="0" collapsed="false">
      <c r="A683" s="39" t="s">
        <v>793</v>
      </c>
      <c r="B683" s="40" t="n">
        <v>46258</v>
      </c>
      <c r="C683" s="39" t="s">
        <v>53</v>
      </c>
      <c r="D683" s="39" t="s">
        <v>35</v>
      </c>
      <c r="E683" s="39" t="s">
        <v>95</v>
      </c>
      <c r="F683" s="39" t="n">
        <v>2</v>
      </c>
      <c r="G683" s="41" t="n">
        <v>528</v>
      </c>
      <c r="H683" s="42" t="n">
        <f aca="false">F683*G683</f>
        <v>1056</v>
      </c>
      <c r="I683" s="39" t="s">
        <v>36</v>
      </c>
      <c r="J683" s="39" t="s">
        <v>42</v>
      </c>
      <c r="K683" s="39" t="n">
        <v>5</v>
      </c>
    </row>
    <row r="684" customFormat="false" ht="15" hidden="false" customHeight="false" outlineLevel="0" collapsed="false">
      <c r="A684" s="39" t="s">
        <v>794</v>
      </c>
      <c r="B684" s="40" t="n">
        <v>46258</v>
      </c>
      <c r="C684" s="39" t="s">
        <v>52</v>
      </c>
      <c r="D684" s="39" t="s">
        <v>33</v>
      </c>
      <c r="E684" s="39" t="s">
        <v>114</v>
      </c>
      <c r="F684" s="39" t="n">
        <v>1</v>
      </c>
      <c r="G684" s="41" t="n">
        <v>308</v>
      </c>
      <c r="H684" s="42" t="n">
        <f aca="false">F684*G684</f>
        <v>308</v>
      </c>
      <c r="I684" s="39" t="s">
        <v>34</v>
      </c>
      <c r="J684" s="39" t="s">
        <v>42</v>
      </c>
      <c r="K684" s="39" t="n">
        <v>3</v>
      </c>
    </row>
    <row r="685" customFormat="false" ht="15" hidden="false" customHeight="false" outlineLevel="0" collapsed="false">
      <c r="A685" s="39" t="s">
        <v>795</v>
      </c>
      <c r="B685" s="40" t="n">
        <v>46258</v>
      </c>
      <c r="C685" s="39" t="s">
        <v>101</v>
      </c>
      <c r="D685" s="39" t="s">
        <v>37</v>
      </c>
      <c r="E685" s="39" t="s">
        <v>131</v>
      </c>
      <c r="F685" s="39" t="n">
        <v>3</v>
      </c>
      <c r="G685" s="41" t="n">
        <v>598</v>
      </c>
      <c r="H685" s="42" t="n">
        <f aca="false">F685*G685</f>
        <v>1794</v>
      </c>
      <c r="I685" s="39" t="s">
        <v>36</v>
      </c>
      <c r="J685" s="39" t="s">
        <v>42</v>
      </c>
      <c r="K685" s="39" t="n">
        <v>4</v>
      </c>
    </row>
    <row r="686" customFormat="false" ht="15" hidden="false" customHeight="false" outlineLevel="0" collapsed="false">
      <c r="A686" s="39" t="s">
        <v>796</v>
      </c>
      <c r="B686" s="40" t="n">
        <v>46258</v>
      </c>
      <c r="C686" s="39" t="s">
        <v>50</v>
      </c>
      <c r="D686" s="39" t="s">
        <v>38</v>
      </c>
      <c r="E686" s="39" t="s">
        <v>121</v>
      </c>
      <c r="F686" s="39" t="n">
        <v>1</v>
      </c>
      <c r="G686" s="41" t="n">
        <v>578</v>
      </c>
      <c r="H686" s="42" t="n">
        <f aca="false">F686*G686</f>
        <v>578</v>
      </c>
      <c r="I686" s="39" t="s">
        <v>34</v>
      </c>
      <c r="J686" s="39" t="s">
        <v>42</v>
      </c>
      <c r="K686" s="39" t="n">
        <v>3</v>
      </c>
    </row>
    <row r="687" customFormat="false" ht="15" hidden="false" customHeight="false" outlineLevel="0" collapsed="false">
      <c r="A687" s="39" t="s">
        <v>797</v>
      </c>
      <c r="B687" s="40" t="n">
        <v>46258</v>
      </c>
      <c r="C687" s="39" t="s">
        <v>52</v>
      </c>
      <c r="D687" s="39" t="s">
        <v>37</v>
      </c>
      <c r="E687" s="39" t="s">
        <v>97</v>
      </c>
      <c r="F687" s="39" t="n">
        <v>2</v>
      </c>
      <c r="G687" s="41" t="n">
        <v>448</v>
      </c>
      <c r="H687" s="42" t="n">
        <f aca="false">F687*G687</f>
        <v>896</v>
      </c>
      <c r="I687" s="39" t="s">
        <v>36</v>
      </c>
      <c r="J687" s="39" t="s">
        <v>42</v>
      </c>
      <c r="K687" s="39" t="n">
        <v>4</v>
      </c>
    </row>
    <row r="688" customFormat="false" ht="15" hidden="false" customHeight="false" outlineLevel="0" collapsed="false">
      <c r="A688" s="39" t="s">
        <v>798</v>
      </c>
      <c r="B688" s="40" t="n">
        <v>46259</v>
      </c>
      <c r="C688" s="39" t="s">
        <v>53</v>
      </c>
      <c r="D688" s="39" t="s">
        <v>39</v>
      </c>
      <c r="E688" s="39" t="s">
        <v>129</v>
      </c>
      <c r="F688" s="39" t="n">
        <v>2</v>
      </c>
      <c r="G688" s="41" t="n">
        <v>1068</v>
      </c>
      <c r="H688" s="42" t="n">
        <f aca="false">F688*G688</f>
        <v>2136</v>
      </c>
      <c r="I688" s="39" t="s">
        <v>36</v>
      </c>
      <c r="J688" s="39" t="s">
        <v>42</v>
      </c>
      <c r="K688" s="39" t="n">
        <v>6</v>
      </c>
    </row>
    <row r="689" customFormat="false" ht="15" hidden="false" customHeight="false" outlineLevel="0" collapsed="false">
      <c r="A689" s="39" t="s">
        <v>799</v>
      </c>
      <c r="B689" s="40" t="n">
        <v>46259</v>
      </c>
      <c r="C689" s="39" t="s">
        <v>109</v>
      </c>
      <c r="D689" s="39" t="s">
        <v>37</v>
      </c>
      <c r="E689" s="39" t="s">
        <v>131</v>
      </c>
      <c r="F689" s="39" t="n">
        <v>1</v>
      </c>
      <c r="G689" s="41" t="n">
        <v>478</v>
      </c>
      <c r="H689" s="42" t="n">
        <f aca="false">F689*G689</f>
        <v>478</v>
      </c>
      <c r="I689" s="39" t="s">
        <v>34</v>
      </c>
      <c r="J689" s="39" t="s">
        <v>42</v>
      </c>
      <c r="K689" s="39" t="n">
        <v>4</v>
      </c>
    </row>
    <row r="690" customFormat="false" ht="15" hidden="false" customHeight="false" outlineLevel="0" collapsed="false">
      <c r="A690" s="39" t="s">
        <v>800</v>
      </c>
      <c r="B690" s="40" t="n">
        <v>46259</v>
      </c>
      <c r="C690" s="39" t="s">
        <v>53</v>
      </c>
      <c r="D690" s="39" t="s">
        <v>38</v>
      </c>
      <c r="E690" s="39" t="s">
        <v>107</v>
      </c>
      <c r="F690" s="39" t="n">
        <v>1</v>
      </c>
      <c r="G690" s="41" t="n">
        <v>608</v>
      </c>
      <c r="H690" s="42" t="n">
        <f aca="false">F690*G690</f>
        <v>608</v>
      </c>
      <c r="I690" s="39" t="s">
        <v>36</v>
      </c>
      <c r="J690" s="39" t="s">
        <v>42</v>
      </c>
      <c r="K690" s="39" t="n">
        <v>4</v>
      </c>
    </row>
    <row r="691" customFormat="false" ht="15" hidden="false" customHeight="false" outlineLevel="0" collapsed="false">
      <c r="A691" s="39" t="s">
        <v>801</v>
      </c>
      <c r="B691" s="40" t="n">
        <v>46259</v>
      </c>
      <c r="C691" s="39" t="s">
        <v>101</v>
      </c>
      <c r="D691" s="39" t="s">
        <v>35</v>
      </c>
      <c r="E691" s="39" t="s">
        <v>159</v>
      </c>
      <c r="F691" s="39" t="n">
        <v>1</v>
      </c>
      <c r="G691" s="41" t="n">
        <v>688</v>
      </c>
      <c r="H691" s="42" t="n">
        <f aca="false">F691*G691</f>
        <v>688</v>
      </c>
      <c r="I691" s="39" t="s">
        <v>36</v>
      </c>
      <c r="J691" s="39" t="s">
        <v>42</v>
      </c>
      <c r="K691" s="39" t="n">
        <v>5</v>
      </c>
    </row>
    <row r="692" customFormat="false" ht="15" hidden="false" customHeight="false" outlineLevel="0" collapsed="false">
      <c r="A692" s="39" t="s">
        <v>802</v>
      </c>
      <c r="B692" s="40" t="n">
        <v>46259</v>
      </c>
      <c r="C692" s="39" t="s">
        <v>52</v>
      </c>
      <c r="D692" s="39" t="s">
        <v>39</v>
      </c>
      <c r="E692" s="39" t="s">
        <v>105</v>
      </c>
      <c r="F692" s="39" t="n">
        <v>2</v>
      </c>
      <c r="G692" s="41" t="n">
        <v>608</v>
      </c>
      <c r="H692" s="42" t="n">
        <f aca="false">F692*G692</f>
        <v>1216</v>
      </c>
      <c r="I692" s="39" t="s">
        <v>34</v>
      </c>
      <c r="J692" s="39" t="s">
        <v>42</v>
      </c>
      <c r="K692" s="39" t="n">
        <v>4</v>
      </c>
    </row>
    <row r="693" customFormat="false" ht="15" hidden="false" customHeight="false" outlineLevel="0" collapsed="false">
      <c r="A693" s="39" t="s">
        <v>803</v>
      </c>
      <c r="B693" s="40" t="n">
        <v>46259</v>
      </c>
      <c r="C693" s="39" t="s">
        <v>109</v>
      </c>
      <c r="D693" s="39" t="s">
        <v>33</v>
      </c>
      <c r="E693" s="39" t="s">
        <v>117</v>
      </c>
      <c r="F693" s="39" t="n">
        <v>1</v>
      </c>
      <c r="G693" s="41" t="n">
        <v>878</v>
      </c>
      <c r="H693" s="42" t="n">
        <f aca="false">F693*G693</f>
        <v>878</v>
      </c>
      <c r="I693" s="39" t="s">
        <v>36</v>
      </c>
      <c r="J693" s="39" t="s">
        <v>42</v>
      </c>
      <c r="K693" s="39" t="n">
        <v>3</v>
      </c>
    </row>
    <row r="694" customFormat="false" ht="15" hidden="false" customHeight="false" outlineLevel="0" collapsed="false">
      <c r="A694" s="39" t="s">
        <v>804</v>
      </c>
      <c r="B694" s="40" t="n">
        <v>46259</v>
      </c>
      <c r="C694" s="39" t="s">
        <v>49</v>
      </c>
      <c r="D694" s="39" t="s">
        <v>35</v>
      </c>
      <c r="E694" s="39" t="s">
        <v>95</v>
      </c>
      <c r="F694" s="39" t="n">
        <v>1</v>
      </c>
      <c r="G694" s="41" t="n">
        <v>748</v>
      </c>
      <c r="H694" s="42" t="n">
        <f aca="false">F694*G694</f>
        <v>748</v>
      </c>
      <c r="I694" s="39" t="s">
        <v>36</v>
      </c>
      <c r="J694" s="39" t="s">
        <v>43</v>
      </c>
      <c r="K694" s="39" t="n">
        <v>5</v>
      </c>
    </row>
    <row r="695" customFormat="false" ht="15" hidden="false" customHeight="false" outlineLevel="0" collapsed="false">
      <c r="A695" s="39" t="s">
        <v>805</v>
      </c>
      <c r="B695" s="40" t="n">
        <v>46259</v>
      </c>
      <c r="C695" s="39" t="s">
        <v>52</v>
      </c>
      <c r="D695" s="39" t="s">
        <v>39</v>
      </c>
      <c r="E695" s="39" t="s">
        <v>129</v>
      </c>
      <c r="F695" s="39" t="n">
        <v>3</v>
      </c>
      <c r="G695" s="41" t="n">
        <v>648</v>
      </c>
      <c r="H695" s="42" t="n">
        <f aca="false">F695*G695</f>
        <v>1944</v>
      </c>
      <c r="I695" s="39" t="s">
        <v>36</v>
      </c>
      <c r="J695" s="39" t="s">
        <v>42</v>
      </c>
      <c r="K695" s="39" t="n">
        <v>4</v>
      </c>
    </row>
    <row r="696" customFormat="false" ht="15" hidden="false" customHeight="false" outlineLevel="0" collapsed="false">
      <c r="A696" s="39" t="s">
        <v>806</v>
      </c>
      <c r="B696" s="40" t="n">
        <v>46259</v>
      </c>
      <c r="C696" s="39" t="s">
        <v>52</v>
      </c>
      <c r="D696" s="39" t="s">
        <v>38</v>
      </c>
      <c r="E696" s="39" t="s">
        <v>110</v>
      </c>
      <c r="F696" s="39" t="n">
        <v>1</v>
      </c>
      <c r="G696" s="41" t="n">
        <v>818</v>
      </c>
      <c r="H696" s="42" t="n">
        <f aca="false">F696*G696</f>
        <v>818</v>
      </c>
      <c r="I696" s="39" t="s">
        <v>34</v>
      </c>
      <c r="J696" s="39" t="s">
        <v>42</v>
      </c>
      <c r="K696" s="39" t="n">
        <v>3</v>
      </c>
    </row>
    <row r="697" customFormat="false" ht="15" hidden="false" customHeight="false" outlineLevel="0" collapsed="false">
      <c r="A697" s="39" t="s">
        <v>807</v>
      </c>
      <c r="B697" s="40" t="n">
        <v>46259</v>
      </c>
      <c r="C697" s="39" t="s">
        <v>52</v>
      </c>
      <c r="D697" s="39" t="s">
        <v>37</v>
      </c>
      <c r="E697" s="39" t="s">
        <v>131</v>
      </c>
      <c r="F697" s="39" t="n">
        <v>1</v>
      </c>
      <c r="G697" s="41" t="n">
        <v>428</v>
      </c>
      <c r="H697" s="42" t="n">
        <f aca="false">F697*G697</f>
        <v>428</v>
      </c>
      <c r="I697" s="39" t="s">
        <v>36</v>
      </c>
      <c r="J697" s="39" t="s">
        <v>43</v>
      </c>
      <c r="K697" s="39" t="n">
        <v>4</v>
      </c>
    </row>
    <row r="698" customFormat="false" ht="15" hidden="false" customHeight="false" outlineLevel="0" collapsed="false">
      <c r="A698" s="39" t="s">
        <v>808</v>
      </c>
      <c r="B698" s="40" t="n">
        <v>46260</v>
      </c>
      <c r="C698" s="39" t="s">
        <v>53</v>
      </c>
      <c r="D698" s="39" t="s">
        <v>35</v>
      </c>
      <c r="E698" s="39" t="s">
        <v>125</v>
      </c>
      <c r="F698" s="39" t="n">
        <v>1</v>
      </c>
      <c r="G698" s="41" t="n">
        <v>258</v>
      </c>
      <c r="H698" s="42" t="n">
        <f aca="false">F698*G698</f>
        <v>258</v>
      </c>
      <c r="I698" s="39" t="s">
        <v>34</v>
      </c>
      <c r="J698" s="39" t="s">
        <v>42</v>
      </c>
      <c r="K698" s="39" t="n">
        <v>4</v>
      </c>
    </row>
    <row r="699" customFormat="false" ht="15" hidden="false" customHeight="false" outlineLevel="0" collapsed="false">
      <c r="A699" s="39" t="s">
        <v>809</v>
      </c>
      <c r="B699" s="40" t="n">
        <v>46260</v>
      </c>
      <c r="C699" s="39" t="s">
        <v>49</v>
      </c>
      <c r="D699" s="39" t="s">
        <v>37</v>
      </c>
      <c r="E699" s="39" t="s">
        <v>141</v>
      </c>
      <c r="F699" s="39" t="n">
        <v>1</v>
      </c>
      <c r="G699" s="41" t="n">
        <v>568</v>
      </c>
      <c r="H699" s="42" t="n">
        <f aca="false">F699*G699</f>
        <v>568</v>
      </c>
      <c r="I699" s="39" t="s">
        <v>34</v>
      </c>
      <c r="J699" s="39" t="s">
        <v>42</v>
      </c>
      <c r="K699" s="39" t="n">
        <v>4</v>
      </c>
    </row>
    <row r="700" customFormat="false" ht="15" hidden="false" customHeight="false" outlineLevel="0" collapsed="false">
      <c r="A700" s="39" t="s">
        <v>810</v>
      </c>
      <c r="B700" s="40" t="n">
        <v>46260</v>
      </c>
      <c r="C700" s="39" t="s">
        <v>50</v>
      </c>
      <c r="D700" s="39" t="s">
        <v>38</v>
      </c>
      <c r="E700" s="39" t="s">
        <v>121</v>
      </c>
      <c r="F700" s="39" t="n">
        <v>2</v>
      </c>
      <c r="G700" s="41" t="n">
        <v>898</v>
      </c>
      <c r="H700" s="42" t="n">
        <f aca="false">F700*G700</f>
        <v>1796</v>
      </c>
      <c r="I700" s="39" t="s">
        <v>34</v>
      </c>
      <c r="J700" s="39" t="s">
        <v>42</v>
      </c>
      <c r="K700" s="39" t="n">
        <v>3</v>
      </c>
    </row>
    <row r="701" customFormat="false" ht="15" hidden="false" customHeight="false" outlineLevel="0" collapsed="false">
      <c r="A701" s="39" t="s">
        <v>811</v>
      </c>
      <c r="B701" s="40" t="n">
        <v>46260</v>
      </c>
      <c r="C701" s="39" t="s">
        <v>49</v>
      </c>
      <c r="D701" s="39" t="s">
        <v>33</v>
      </c>
      <c r="E701" s="39" t="s">
        <v>114</v>
      </c>
      <c r="F701" s="39" t="n">
        <v>2</v>
      </c>
      <c r="G701" s="41" t="n">
        <v>888</v>
      </c>
      <c r="H701" s="42" t="n">
        <f aca="false">F701*G701</f>
        <v>1776</v>
      </c>
      <c r="I701" s="39" t="s">
        <v>34</v>
      </c>
      <c r="J701" s="39" t="s">
        <v>42</v>
      </c>
      <c r="K701" s="39" t="n">
        <v>2</v>
      </c>
    </row>
    <row r="702" customFormat="false" ht="15" hidden="false" customHeight="false" outlineLevel="0" collapsed="false">
      <c r="A702" s="39" t="s">
        <v>812</v>
      </c>
      <c r="B702" s="40" t="n">
        <v>46260</v>
      </c>
      <c r="C702" s="39" t="s">
        <v>101</v>
      </c>
      <c r="D702" s="39" t="s">
        <v>35</v>
      </c>
      <c r="E702" s="39" t="s">
        <v>125</v>
      </c>
      <c r="F702" s="39" t="n">
        <v>1</v>
      </c>
      <c r="G702" s="41" t="n">
        <v>278</v>
      </c>
      <c r="H702" s="42" t="n">
        <f aca="false">F702*G702</f>
        <v>278</v>
      </c>
      <c r="I702" s="39" t="s">
        <v>34</v>
      </c>
      <c r="J702" s="39" t="s">
        <v>42</v>
      </c>
      <c r="K702" s="39" t="n">
        <v>3</v>
      </c>
    </row>
    <row r="703" customFormat="false" ht="15" hidden="false" customHeight="false" outlineLevel="0" collapsed="false">
      <c r="A703" s="39" t="s">
        <v>813</v>
      </c>
      <c r="B703" s="40" t="n">
        <v>46260</v>
      </c>
      <c r="C703" s="39" t="s">
        <v>52</v>
      </c>
      <c r="D703" s="39" t="s">
        <v>39</v>
      </c>
      <c r="E703" s="39" t="s">
        <v>105</v>
      </c>
      <c r="F703" s="39" t="n">
        <v>1</v>
      </c>
      <c r="G703" s="41" t="n">
        <v>628</v>
      </c>
      <c r="H703" s="42" t="n">
        <f aca="false">F703*G703</f>
        <v>628</v>
      </c>
      <c r="I703" s="39" t="s">
        <v>34</v>
      </c>
      <c r="J703" s="39" t="s">
        <v>42</v>
      </c>
      <c r="K703" s="39" t="n">
        <v>4</v>
      </c>
    </row>
    <row r="704" customFormat="false" ht="15" hidden="false" customHeight="false" outlineLevel="0" collapsed="false">
      <c r="A704" s="39" t="s">
        <v>814</v>
      </c>
      <c r="B704" s="40" t="n">
        <v>46260</v>
      </c>
      <c r="C704" s="39" t="s">
        <v>51</v>
      </c>
      <c r="D704" s="39" t="s">
        <v>33</v>
      </c>
      <c r="E704" s="39" t="s">
        <v>136</v>
      </c>
      <c r="F704" s="39" t="n">
        <v>2</v>
      </c>
      <c r="G704" s="41" t="n">
        <v>768</v>
      </c>
      <c r="H704" s="42" t="n">
        <f aca="false">F704*G704</f>
        <v>1536</v>
      </c>
      <c r="I704" s="39" t="s">
        <v>36</v>
      </c>
      <c r="J704" s="39" t="s">
        <v>42</v>
      </c>
      <c r="K704" s="39" t="n">
        <v>4</v>
      </c>
    </row>
    <row r="705" customFormat="false" ht="15" hidden="false" customHeight="false" outlineLevel="0" collapsed="false">
      <c r="A705" s="39" t="s">
        <v>815</v>
      </c>
      <c r="B705" s="40" t="n">
        <v>46260</v>
      </c>
      <c r="C705" s="39" t="s">
        <v>48</v>
      </c>
      <c r="D705" s="39" t="s">
        <v>37</v>
      </c>
      <c r="E705" s="39" t="s">
        <v>131</v>
      </c>
      <c r="F705" s="39" t="n">
        <v>1</v>
      </c>
      <c r="G705" s="41" t="n">
        <v>228</v>
      </c>
      <c r="H705" s="42" t="n">
        <f aca="false">F705*G705</f>
        <v>228</v>
      </c>
      <c r="I705" s="39" t="s">
        <v>34</v>
      </c>
      <c r="J705" s="39" t="s">
        <v>42</v>
      </c>
      <c r="K705" s="39" t="n">
        <v>6</v>
      </c>
    </row>
    <row r="706" customFormat="false" ht="15" hidden="false" customHeight="false" outlineLevel="0" collapsed="false">
      <c r="A706" s="39" t="s">
        <v>816</v>
      </c>
      <c r="B706" s="40" t="n">
        <v>46260</v>
      </c>
      <c r="C706" s="39" t="s">
        <v>101</v>
      </c>
      <c r="D706" s="39" t="s">
        <v>35</v>
      </c>
      <c r="E706" s="39" t="s">
        <v>125</v>
      </c>
      <c r="F706" s="39" t="n">
        <v>1</v>
      </c>
      <c r="G706" s="41" t="n">
        <v>378</v>
      </c>
      <c r="H706" s="42" t="n">
        <f aca="false">F706*G706</f>
        <v>378</v>
      </c>
      <c r="I706" s="39" t="s">
        <v>34</v>
      </c>
      <c r="J706" s="39" t="s">
        <v>42</v>
      </c>
      <c r="K706" s="39" t="n">
        <v>2</v>
      </c>
    </row>
    <row r="707" customFormat="false" ht="15" hidden="false" customHeight="false" outlineLevel="0" collapsed="false">
      <c r="A707" s="39" t="s">
        <v>817</v>
      </c>
      <c r="B707" s="40" t="n">
        <v>46260</v>
      </c>
      <c r="C707" s="39" t="s">
        <v>48</v>
      </c>
      <c r="D707" s="39" t="s">
        <v>37</v>
      </c>
      <c r="E707" s="39" t="s">
        <v>141</v>
      </c>
      <c r="F707" s="39" t="n">
        <v>1</v>
      </c>
      <c r="G707" s="41" t="n">
        <v>468</v>
      </c>
      <c r="H707" s="42" t="n">
        <f aca="false">F707*G707</f>
        <v>468</v>
      </c>
      <c r="I707" s="39" t="s">
        <v>34</v>
      </c>
      <c r="J707" s="39" t="s">
        <v>42</v>
      </c>
      <c r="K707" s="39" t="n">
        <v>4</v>
      </c>
    </row>
    <row r="708" customFormat="false" ht="15" hidden="false" customHeight="false" outlineLevel="0" collapsed="false">
      <c r="A708" s="39" t="s">
        <v>818</v>
      </c>
      <c r="B708" s="40" t="n">
        <v>46260</v>
      </c>
      <c r="C708" s="39" t="s">
        <v>109</v>
      </c>
      <c r="D708" s="39" t="s">
        <v>33</v>
      </c>
      <c r="E708" s="39" t="s">
        <v>117</v>
      </c>
      <c r="F708" s="39" t="n">
        <v>2</v>
      </c>
      <c r="G708" s="41" t="n">
        <v>538</v>
      </c>
      <c r="H708" s="42" t="n">
        <f aca="false">F708*G708</f>
        <v>1076</v>
      </c>
      <c r="I708" s="39" t="s">
        <v>34</v>
      </c>
      <c r="J708" s="39" t="s">
        <v>42</v>
      </c>
      <c r="K708" s="39" t="n">
        <v>5</v>
      </c>
    </row>
    <row r="709" customFormat="false" ht="15" hidden="false" customHeight="false" outlineLevel="0" collapsed="false">
      <c r="A709" s="39" t="s">
        <v>819</v>
      </c>
      <c r="B709" s="40" t="n">
        <v>46260</v>
      </c>
      <c r="C709" s="39" t="s">
        <v>51</v>
      </c>
      <c r="D709" s="39" t="s">
        <v>33</v>
      </c>
      <c r="E709" s="39" t="s">
        <v>102</v>
      </c>
      <c r="F709" s="39" t="n">
        <v>2</v>
      </c>
      <c r="G709" s="41" t="n">
        <v>658</v>
      </c>
      <c r="H709" s="42" t="n">
        <f aca="false">F709*G709</f>
        <v>1316</v>
      </c>
      <c r="I709" s="39" t="s">
        <v>34</v>
      </c>
      <c r="J709" s="39" t="s">
        <v>42</v>
      </c>
      <c r="K709" s="39" t="n">
        <v>4</v>
      </c>
    </row>
    <row r="710" customFormat="false" ht="15" hidden="false" customHeight="false" outlineLevel="0" collapsed="false">
      <c r="A710" s="39" t="s">
        <v>820</v>
      </c>
      <c r="B710" s="40" t="n">
        <v>46260</v>
      </c>
      <c r="C710" s="39" t="s">
        <v>50</v>
      </c>
      <c r="D710" s="39" t="s">
        <v>35</v>
      </c>
      <c r="E710" s="39" t="s">
        <v>125</v>
      </c>
      <c r="F710" s="39" t="n">
        <v>1</v>
      </c>
      <c r="G710" s="41" t="n">
        <v>558</v>
      </c>
      <c r="H710" s="42" t="n">
        <f aca="false">F710*G710</f>
        <v>558</v>
      </c>
      <c r="I710" s="39" t="s">
        <v>34</v>
      </c>
      <c r="J710" s="39" t="s">
        <v>42</v>
      </c>
      <c r="K710" s="39" t="n">
        <v>5</v>
      </c>
    </row>
    <row r="711" customFormat="false" ht="15" hidden="false" customHeight="false" outlineLevel="0" collapsed="false">
      <c r="A711" s="39" t="s">
        <v>821</v>
      </c>
      <c r="B711" s="40" t="n">
        <v>46260</v>
      </c>
      <c r="C711" s="39" t="s">
        <v>53</v>
      </c>
      <c r="D711" s="39" t="s">
        <v>35</v>
      </c>
      <c r="E711" s="39" t="s">
        <v>159</v>
      </c>
      <c r="F711" s="39" t="n">
        <v>1</v>
      </c>
      <c r="G711" s="41" t="n">
        <v>788</v>
      </c>
      <c r="H711" s="42" t="n">
        <f aca="false">F711*G711</f>
        <v>788</v>
      </c>
      <c r="I711" s="39" t="s">
        <v>34</v>
      </c>
      <c r="J711" s="39" t="s">
        <v>42</v>
      </c>
      <c r="K711" s="39" t="n">
        <v>3</v>
      </c>
    </row>
    <row r="712" customFormat="false" ht="15" hidden="false" customHeight="false" outlineLevel="0" collapsed="false">
      <c r="A712" s="39" t="s">
        <v>822</v>
      </c>
      <c r="B712" s="40" t="n">
        <v>46261</v>
      </c>
      <c r="C712" s="39" t="s">
        <v>52</v>
      </c>
      <c r="D712" s="39" t="s">
        <v>37</v>
      </c>
      <c r="E712" s="39" t="s">
        <v>97</v>
      </c>
      <c r="F712" s="39" t="n">
        <v>1</v>
      </c>
      <c r="G712" s="41" t="n">
        <v>288</v>
      </c>
      <c r="H712" s="42" t="n">
        <f aca="false">F712*G712</f>
        <v>288</v>
      </c>
      <c r="I712" s="39" t="s">
        <v>34</v>
      </c>
      <c r="J712" s="39" t="s">
        <v>42</v>
      </c>
      <c r="K712" s="39" t="n">
        <v>4</v>
      </c>
    </row>
    <row r="713" customFormat="false" ht="15" hidden="false" customHeight="false" outlineLevel="0" collapsed="false">
      <c r="A713" s="39" t="s">
        <v>823</v>
      </c>
      <c r="B713" s="40" t="n">
        <v>46261</v>
      </c>
      <c r="C713" s="39" t="s">
        <v>49</v>
      </c>
      <c r="D713" s="39" t="s">
        <v>38</v>
      </c>
      <c r="E713" s="39" t="s">
        <v>110</v>
      </c>
      <c r="F713" s="39" t="n">
        <v>1</v>
      </c>
      <c r="G713" s="41" t="n">
        <v>358</v>
      </c>
      <c r="H713" s="42" t="n">
        <f aca="false">F713*G713</f>
        <v>358</v>
      </c>
      <c r="I713" s="39" t="s">
        <v>34</v>
      </c>
      <c r="J713" s="39" t="s">
        <v>42</v>
      </c>
      <c r="K713" s="39" t="n">
        <v>4</v>
      </c>
    </row>
    <row r="714" customFormat="false" ht="15" hidden="false" customHeight="false" outlineLevel="0" collapsed="false">
      <c r="A714" s="39" t="s">
        <v>824</v>
      </c>
      <c r="B714" s="40" t="n">
        <v>46261</v>
      </c>
      <c r="C714" s="39" t="s">
        <v>49</v>
      </c>
      <c r="D714" s="39" t="s">
        <v>38</v>
      </c>
      <c r="E714" s="39" t="s">
        <v>107</v>
      </c>
      <c r="F714" s="39" t="n">
        <v>1</v>
      </c>
      <c r="G714" s="41" t="n">
        <v>948</v>
      </c>
      <c r="H714" s="42" t="n">
        <f aca="false">F714*G714</f>
        <v>948</v>
      </c>
      <c r="I714" s="39" t="s">
        <v>36</v>
      </c>
      <c r="J714" s="39" t="s">
        <v>42</v>
      </c>
      <c r="K714" s="39" t="n">
        <v>7</v>
      </c>
    </row>
    <row r="715" customFormat="false" ht="15" hidden="false" customHeight="false" outlineLevel="0" collapsed="false">
      <c r="A715" s="39" t="s">
        <v>825</v>
      </c>
      <c r="B715" s="40" t="n">
        <v>46261</v>
      </c>
      <c r="C715" s="39" t="s">
        <v>53</v>
      </c>
      <c r="D715" s="39" t="s">
        <v>33</v>
      </c>
      <c r="E715" s="39" t="s">
        <v>117</v>
      </c>
      <c r="F715" s="39" t="n">
        <v>1</v>
      </c>
      <c r="G715" s="41" t="n">
        <v>698</v>
      </c>
      <c r="H715" s="42" t="n">
        <f aca="false">F715*G715</f>
        <v>698</v>
      </c>
      <c r="I715" s="39" t="s">
        <v>36</v>
      </c>
      <c r="J715" s="39" t="s">
        <v>42</v>
      </c>
      <c r="K715" s="39" t="n">
        <v>6</v>
      </c>
    </row>
    <row r="716" customFormat="false" ht="15" hidden="false" customHeight="false" outlineLevel="0" collapsed="false">
      <c r="A716" s="39" t="s">
        <v>826</v>
      </c>
      <c r="B716" s="40" t="n">
        <v>46261</v>
      </c>
      <c r="C716" s="39" t="s">
        <v>48</v>
      </c>
      <c r="D716" s="39" t="s">
        <v>38</v>
      </c>
      <c r="E716" s="39" t="s">
        <v>110</v>
      </c>
      <c r="F716" s="39" t="n">
        <v>1</v>
      </c>
      <c r="G716" s="41" t="n">
        <v>478</v>
      </c>
      <c r="H716" s="42" t="n">
        <f aca="false">F716*G716</f>
        <v>478</v>
      </c>
      <c r="I716" s="39" t="s">
        <v>34</v>
      </c>
      <c r="J716" s="39" t="s">
        <v>42</v>
      </c>
      <c r="K716" s="39" t="n">
        <v>3</v>
      </c>
    </row>
    <row r="717" customFormat="false" ht="15" hidden="false" customHeight="false" outlineLevel="0" collapsed="false">
      <c r="A717" s="39" t="s">
        <v>827</v>
      </c>
      <c r="B717" s="40" t="n">
        <v>46261</v>
      </c>
      <c r="C717" s="39" t="s">
        <v>50</v>
      </c>
      <c r="D717" s="39" t="s">
        <v>33</v>
      </c>
      <c r="E717" s="39" t="s">
        <v>102</v>
      </c>
      <c r="F717" s="39" t="n">
        <v>1</v>
      </c>
      <c r="G717" s="41" t="n">
        <v>458</v>
      </c>
      <c r="H717" s="42" t="n">
        <f aca="false">F717*G717</f>
        <v>458</v>
      </c>
      <c r="I717" s="39" t="s">
        <v>34</v>
      </c>
      <c r="J717" s="39" t="s">
        <v>42</v>
      </c>
      <c r="K717" s="39" t="n">
        <v>4</v>
      </c>
    </row>
    <row r="718" customFormat="false" ht="15" hidden="false" customHeight="false" outlineLevel="0" collapsed="false">
      <c r="A718" s="39" t="s">
        <v>828</v>
      </c>
      <c r="B718" s="40" t="n">
        <v>46261</v>
      </c>
      <c r="C718" s="39" t="s">
        <v>53</v>
      </c>
      <c r="D718" s="39" t="s">
        <v>33</v>
      </c>
      <c r="E718" s="39" t="s">
        <v>114</v>
      </c>
      <c r="F718" s="39" t="n">
        <v>1</v>
      </c>
      <c r="G718" s="41" t="n">
        <v>708</v>
      </c>
      <c r="H718" s="42" t="n">
        <f aca="false">F718*G718</f>
        <v>708</v>
      </c>
      <c r="I718" s="39" t="s">
        <v>34</v>
      </c>
      <c r="J718" s="39" t="s">
        <v>42</v>
      </c>
      <c r="K718" s="39" t="n">
        <v>3</v>
      </c>
    </row>
    <row r="719" customFormat="false" ht="15" hidden="false" customHeight="false" outlineLevel="0" collapsed="false">
      <c r="A719" s="39" t="s">
        <v>829</v>
      </c>
      <c r="B719" s="40" t="n">
        <v>46261</v>
      </c>
      <c r="C719" s="39" t="s">
        <v>51</v>
      </c>
      <c r="D719" s="39" t="s">
        <v>37</v>
      </c>
      <c r="E719" s="39" t="s">
        <v>141</v>
      </c>
      <c r="F719" s="39" t="n">
        <v>1</v>
      </c>
      <c r="G719" s="41" t="n">
        <v>448</v>
      </c>
      <c r="H719" s="42" t="n">
        <f aca="false">F719*G719</f>
        <v>448</v>
      </c>
      <c r="I719" s="39" t="s">
        <v>36</v>
      </c>
      <c r="J719" s="39" t="s">
        <v>43</v>
      </c>
      <c r="K719" s="39" t="n">
        <v>6</v>
      </c>
    </row>
    <row r="720" customFormat="false" ht="15" hidden="false" customHeight="false" outlineLevel="0" collapsed="false">
      <c r="A720" s="39" t="s">
        <v>830</v>
      </c>
      <c r="B720" s="40" t="n">
        <v>46261</v>
      </c>
      <c r="C720" s="39" t="s">
        <v>49</v>
      </c>
      <c r="D720" s="39" t="s">
        <v>33</v>
      </c>
      <c r="E720" s="39" t="s">
        <v>102</v>
      </c>
      <c r="F720" s="39" t="n">
        <v>3</v>
      </c>
      <c r="G720" s="41" t="n">
        <v>628</v>
      </c>
      <c r="H720" s="42" t="n">
        <f aca="false">F720*G720</f>
        <v>1884</v>
      </c>
      <c r="I720" s="39" t="s">
        <v>34</v>
      </c>
      <c r="J720" s="39" t="s">
        <v>42</v>
      </c>
      <c r="K720" s="39" t="n">
        <v>5</v>
      </c>
    </row>
    <row r="721" customFormat="false" ht="15" hidden="false" customHeight="false" outlineLevel="0" collapsed="false">
      <c r="A721" s="39" t="s">
        <v>831</v>
      </c>
      <c r="B721" s="40" t="n">
        <v>46262</v>
      </c>
      <c r="C721" s="39" t="s">
        <v>109</v>
      </c>
      <c r="D721" s="39" t="s">
        <v>35</v>
      </c>
      <c r="E721" s="39" t="s">
        <v>95</v>
      </c>
      <c r="F721" s="39" t="n">
        <v>2</v>
      </c>
      <c r="G721" s="41" t="n">
        <v>268</v>
      </c>
      <c r="H721" s="42" t="n">
        <f aca="false">F721*G721</f>
        <v>536</v>
      </c>
      <c r="I721" s="39" t="s">
        <v>34</v>
      </c>
      <c r="J721" s="39" t="s">
        <v>43</v>
      </c>
      <c r="K721" s="39" t="n">
        <v>4</v>
      </c>
    </row>
    <row r="722" customFormat="false" ht="15" hidden="false" customHeight="false" outlineLevel="0" collapsed="false">
      <c r="A722" s="39" t="s">
        <v>832</v>
      </c>
      <c r="B722" s="40" t="n">
        <v>46262</v>
      </c>
      <c r="C722" s="39" t="s">
        <v>52</v>
      </c>
      <c r="D722" s="39" t="s">
        <v>35</v>
      </c>
      <c r="E722" s="39" t="s">
        <v>95</v>
      </c>
      <c r="F722" s="39" t="n">
        <v>1</v>
      </c>
      <c r="G722" s="41" t="n">
        <v>348</v>
      </c>
      <c r="H722" s="42" t="n">
        <f aca="false">F722*G722</f>
        <v>348</v>
      </c>
      <c r="I722" s="39" t="s">
        <v>34</v>
      </c>
      <c r="J722" s="39" t="s">
        <v>42</v>
      </c>
      <c r="K722" s="39" t="n">
        <v>3</v>
      </c>
    </row>
    <row r="723" customFormat="false" ht="15" hidden="false" customHeight="false" outlineLevel="0" collapsed="false">
      <c r="A723" s="39" t="s">
        <v>833</v>
      </c>
      <c r="B723" s="40" t="n">
        <v>46262</v>
      </c>
      <c r="C723" s="39" t="s">
        <v>109</v>
      </c>
      <c r="D723" s="39" t="s">
        <v>33</v>
      </c>
      <c r="E723" s="39" t="s">
        <v>136</v>
      </c>
      <c r="F723" s="39" t="n">
        <v>1</v>
      </c>
      <c r="G723" s="41" t="n">
        <v>538</v>
      </c>
      <c r="H723" s="42" t="n">
        <f aca="false">F723*G723</f>
        <v>538</v>
      </c>
      <c r="I723" s="39" t="s">
        <v>36</v>
      </c>
      <c r="J723" s="39" t="s">
        <v>42</v>
      </c>
      <c r="K723" s="39" t="n">
        <v>5</v>
      </c>
    </row>
    <row r="724" customFormat="false" ht="15" hidden="false" customHeight="false" outlineLevel="0" collapsed="false">
      <c r="A724" s="39" t="s">
        <v>834</v>
      </c>
      <c r="B724" s="40" t="n">
        <v>46262</v>
      </c>
      <c r="C724" s="39" t="s">
        <v>50</v>
      </c>
      <c r="D724" s="39" t="s">
        <v>38</v>
      </c>
      <c r="E724" s="39" t="s">
        <v>110</v>
      </c>
      <c r="F724" s="39" t="n">
        <v>1</v>
      </c>
      <c r="G724" s="41" t="n">
        <v>678</v>
      </c>
      <c r="H724" s="42" t="n">
        <f aca="false">F724*G724</f>
        <v>678</v>
      </c>
      <c r="I724" s="39" t="s">
        <v>34</v>
      </c>
      <c r="J724" s="39" t="s">
        <v>42</v>
      </c>
      <c r="K724" s="39" t="n">
        <v>3</v>
      </c>
    </row>
    <row r="725" customFormat="false" ht="15" hidden="false" customHeight="false" outlineLevel="0" collapsed="false">
      <c r="A725" s="39" t="s">
        <v>835</v>
      </c>
      <c r="B725" s="40" t="n">
        <v>46262</v>
      </c>
      <c r="C725" s="39" t="s">
        <v>52</v>
      </c>
      <c r="D725" s="39" t="s">
        <v>38</v>
      </c>
      <c r="E725" s="39" t="s">
        <v>107</v>
      </c>
      <c r="F725" s="39" t="n">
        <v>3</v>
      </c>
      <c r="G725" s="41" t="n">
        <v>718</v>
      </c>
      <c r="H725" s="42" t="n">
        <f aca="false">F725*G725</f>
        <v>2154</v>
      </c>
      <c r="I725" s="39" t="s">
        <v>34</v>
      </c>
      <c r="J725" s="39" t="s">
        <v>42</v>
      </c>
      <c r="K725" s="39" t="n">
        <v>4</v>
      </c>
    </row>
    <row r="726" customFormat="false" ht="15" hidden="false" customHeight="false" outlineLevel="0" collapsed="false">
      <c r="A726" s="39" t="s">
        <v>836</v>
      </c>
      <c r="B726" s="40" t="n">
        <v>46262</v>
      </c>
      <c r="C726" s="39" t="s">
        <v>53</v>
      </c>
      <c r="D726" s="39" t="s">
        <v>35</v>
      </c>
      <c r="E726" s="39" t="s">
        <v>125</v>
      </c>
      <c r="F726" s="39" t="n">
        <v>1</v>
      </c>
      <c r="G726" s="41" t="n">
        <v>488</v>
      </c>
      <c r="H726" s="42" t="n">
        <f aca="false">F726*G726</f>
        <v>488</v>
      </c>
      <c r="I726" s="39" t="s">
        <v>34</v>
      </c>
      <c r="J726" s="39" t="s">
        <v>42</v>
      </c>
      <c r="K726" s="39" t="n">
        <v>5</v>
      </c>
    </row>
    <row r="727" customFormat="false" ht="15" hidden="false" customHeight="false" outlineLevel="0" collapsed="false">
      <c r="A727" s="39" t="s">
        <v>837</v>
      </c>
      <c r="B727" s="40" t="n">
        <v>46262</v>
      </c>
      <c r="C727" s="39" t="s">
        <v>49</v>
      </c>
      <c r="D727" s="39" t="s">
        <v>33</v>
      </c>
      <c r="E727" s="39" t="s">
        <v>114</v>
      </c>
      <c r="F727" s="39" t="n">
        <v>3</v>
      </c>
      <c r="G727" s="41" t="n">
        <v>758</v>
      </c>
      <c r="H727" s="42" t="n">
        <f aca="false">F727*G727</f>
        <v>2274</v>
      </c>
      <c r="I727" s="39" t="s">
        <v>34</v>
      </c>
      <c r="J727" s="39" t="s">
        <v>42</v>
      </c>
      <c r="K727" s="39" t="n">
        <v>3</v>
      </c>
    </row>
    <row r="728" customFormat="false" ht="15" hidden="false" customHeight="false" outlineLevel="0" collapsed="false">
      <c r="A728" s="39" t="s">
        <v>838</v>
      </c>
      <c r="B728" s="40" t="n">
        <v>46262</v>
      </c>
      <c r="C728" s="39" t="s">
        <v>48</v>
      </c>
      <c r="D728" s="39" t="s">
        <v>33</v>
      </c>
      <c r="E728" s="39" t="s">
        <v>102</v>
      </c>
      <c r="F728" s="39" t="n">
        <v>1</v>
      </c>
      <c r="G728" s="41" t="n">
        <v>388</v>
      </c>
      <c r="H728" s="42" t="n">
        <f aca="false">F728*G728</f>
        <v>388</v>
      </c>
      <c r="I728" s="39" t="s">
        <v>34</v>
      </c>
      <c r="J728" s="39" t="s">
        <v>42</v>
      </c>
      <c r="K728" s="39" t="n">
        <v>4</v>
      </c>
    </row>
    <row r="729" customFormat="false" ht="15" hidden="false" customHeight="false" outlineLevel="0" collapsed="false">
      <c r="A729" s="39" t="s">
        <v>839</v>
      </c>
      <c r="B729" s="40" t="n">
        <v>46262</v>
      </c>
      <c r="C729" s="39" t="s">
        <v>52</v>
      </c>
      <c r="D729" s="39" t="s">
        <v>33</v>
      </c>
      <c r="E729" s="39" t="s">
        <v>102</v>
      </c>
      <c r="F729" s="39" t="n">
        <v>1</v>
      </c>
      <c r="G729" s="41" t="n">
        <v>728</v>
      </c>
      <c r="H729" s="42" t="n">
        <f aca="false">F729*G729</f>
        <v>728</v>
      </c>
      <c r="I729" s="39" t="s">
        <v>34</v>
      </c>
      <c r="J729" s="39" t="s">
        <v>42</v>
      </c>
      <c r="K729" s="39" t="n">
        <v>3</v>
      </c>
    </row>
    <row r="730" customFormat="false" ht="15" hidden="false" customHeight="false" outlineLevel="0" collapsed="false">
      <c r="A730" s="39" t="s">
        <v>840</v>
      </c>
      <c r="B730" s="40" t="n">
        <v>46262</v>
      </c>
      <c r="C730" s="39" t="s">
        <v>51</v>
      </c>
      <c r="D730" s="39" t="s">
        <v>37</v>
      </c>
      <c r="E730" s="39" t="s">
        <v>131</v>
      </c>
      <c r="F730" s="39" t="n">
        <v>2</v>
      </c>
      <c r="G730" s="41" t="n">
        <v>258</v>
      </c>
      <c r="H730" s="42" t="n">
        <f aca="false">F730*G730</f>
        <v>516</v>
      </c>
      <c r="I730" s="39" t="s">
        <v>34</v>
      </c>
      <c r="J730" s="39" t="s">
        <v>42</v>
      </c>
      <c r="K730" s="39" t="n">
        <v>5</v>
      </c>
    </row>
    <row r="731" customFormat="false" ht="15" hidden="false" customHeight="false" outlineLevel="0" collapsed="false">
      <c r="A731" s="39" t="s">
        <v>841</v>
      </c>
      <c r="B731" s="40" t="n">
        <v>46262</v>
      </c>
      <c r="C731" s="39" t="s">
        <v>50</v>
      </c>
      <c r="D731" s="39" t="s">
        <v>38</v>
      </c>
      <c r="E731" s="39" t="s">
        <v>121</v>
      </c>
      <c r="F731" s="39" t="n">
        <v>1</v>
      </c>
      <c r="G731" s="41" t="n">
        <v>388</v>
      </c>
      <c r="H731" s="42" t="n">
        <f aca="false">F731*G731</f>
        <v>388</v>
      </c>
      <c r="I731" s="39" t="s">
        <v>36</v>
      </c>
      <c r="J731" s="39" t="s">
        <v>47</v>
      </c>
      <c r="K731" s="39"/>
    </row>
    <row r="732" customFormat="false" ht="15" hidden="false" customHeight="false" outlineLevel="0" collapsed="false">
      <c r="A732" s="39" t="s">
        <v>842</v>
      </c>
      <c r="B732" s="40" t="n">
        <v>46262</v>
      </c>
      <c r="C732" s="39" t="s">
        <v>101</v>
      </c>
      <c r="D732" s="39" t="s">
        <v>38</v>
      </c>
      <c r="E732" s="39" t="s">
        <v>107</v>
      </c>
      <c r="F732" s="39" t="n">
        <v>1</v>
      </c>
      <c r="G732" s="41" t="n">
        <v>668</v>
      </c>
      <c r="H732" s="42" t="n">
        <f aca="false">F732*G732</f>
        <v>668</v>
      </c>
      <c r="I732" s="39" t="s">
        <v>34</v>
      </c>
      <c r="J732" s="39" t="s">
        <v>45</v>
      </c>
      <c r="K732" s="39"/>
    </row>
    <row r="733" customFormat="false" ht="15" hidden="false" customHeight="false" outlineLevel="0" collapsed="false">
      <c r="A733" s="39" t="s">
        <v>843</v>
      </c>
      <c r="B733" s="40" t="n">
        <v>46262</v>
      </c>
      <c r="C733" s="39" t="s">
        <v>51</v>
      </c>
      <c r="D733" s="39" t="s">
        <v>33</v>
      </c>
      <c r="E733" s="39" t="s">
        <v>102</v>
      </c>
      <c r="F733" s="39" t="n">
        <v>2</v>
      </c>
      <c r="G733" s="41" t="n">
        <v>368</v>
      </c>
      <c r="H733" s="42" t="n">
        <f aca="false">F733*G733</f>
        <v>736</v>
      </c>
      <c r="I733" s="39" t="s">
        <v>36</v>
      </c>
      <c r="J733" s="39" t="s">
        <v>42</v>
      </c>
      <c r="K733" s="39" t="n">
        <v>6</v>
      </c>
    </row>
    <row r="734" customFormat="false" ht="15" hidden="false" customHeight="false" outlineLevel="0" collapsed="false">
      <c r="A734" s="39" t="s">
        <v>844</v>
      </c>
      <c r="B734" s="40" t="n">
        <v>46263</v>
      </c>
      <c r="C734" s="39" t="s">
        <v>52</v>
      </c>
      <c r="D734" s="39" t="s">
        <v>33</v>
      </c>
      <c r="E734" s="39" t="s">
        <v>117</v>
      </c>
      <c r="F734" s="39" t="n">
        <v>2</v>
      </c>
      <c r="G734" s="41" t="n">
        <v>868</v>
      </c>
      <c r="H734" s="42" t="n">
        <f aca="false">F734*G734</f>
        <v>1736</v>
      </c>
      <c r="I734" s="39" t="s">
        <v>36</v>
      </c>
      <c r="J734" s="39" t="s">
        <v>42</v>
      </c>
      <c r="K734" s="39" t="n">
        <v>4</v>
      </c>
    </row>
    <row r="735" customFormat="false" ht="15" hidden="false" customHeight="false" outlineLevel="0" collapsed="false">
      <c r="A735" s="39" t="s">
        <v>845</v>
      </c>
      <c r="B735" s="40" t="n">
        <v>46263</v>
      </c>
      <c r="C735" s="39" t="s">
        <v>51</v>
      </c>
      <c r="D735" s="39" t="s">
        <v>33</v>
      </c>
      <c r="E735" s="39" t="s">
        <v>102</v>
      </c>
      <c r="F735" s="39" t="n">
        <v>1</v>
      </c>
      <c r="G735" s="41" t="n">
        <v>898</v>
      </c>
      <c r="H735" s="42" t="n">
        <f aca="false">F735*G735</f>
        <v>898</v>
      </c>
      <c r="I735" s="39" t="s">
        <v>34</v>
      </c>
      <c r="J735" s="39" t="s">
        <v>42</v>
      </c>
      <c r="K735" s="39" t="n">
        <v>4</v>
      </c>
    </row>
    <row r="736" customFormat="false" ht="15" hidden="false" customHeight="false" outlineLevel="0" collapsed="false">
      <c r="A736" s="39" t="s">
        <v>846</v>
      </c>
      <c r="B736" s="40" t="n">
        <v>46263</v>
      </c>
      <c r="C736" s="39" t="s">
        <v>52</v>
      </c>
      <c r="D736" s="39" t="s">
        <v>35</v>
      </c>
      <c r="E736" s="39" t="s">
        <v>159</v>
      </c>
      <c r="F736" s="39" t="n">
        <v>1</v>
      </c>
      <c r="G736" s="41" t="n">
        <v>598</v>
      </c>
      <c r="H736" s="42" t="n">
        <f aca="false">F736*G736</f>
        <v>598</v>
      </c>
      <c r="I736" s="39" t="s">
        <v>34</v>
      </c>
      <c r="J736" s="39" t="s">
        <v>42</v>
      </c>
      <c r="K736" s="39" t="n">
        <v>4</v>
      </c>
    </row>
    <row r="737" customFormat="false" ht="15" hidden="false" customHeight="false" outlineLevel="0" collapsed="false">
      <c r="A737" s="39" t="s">
        <v>847</v>
      </c>
      <c r="B737" s="40" t="n">
        <v>46263</v>
      </c>
      <c r="C737" s="39" t="s">
        <v>109</v>
      </c>
      <c r="D737" s="39" t="s">
        <v>35</v>
      </c>
      <c r="E737" s="39" t="s">
        <v>159</v>
      </c>
      <c r="F737" s="39" t="n">
        <v>1</v>
      </c>
      <c r="G737" s="41" t="n">
        <v>578</v>
      </c>
      <c r="H737" s="42" t="n">
        <f aca="false">F737*G737</f>
        <v>578</v>
      </c>
      <c r="I737" s="39" t="s">
        <v>34</v>
      </c>
      <c r="J737" s="39" t="s">
        <v>42</v>
      </c>
      <c r="K737" s="39" t="n">
        <v>6</v>
      </c>
    </row>
    <row r="738" customFormat="false" ht="15" hidden="false" customHeight="false" outlineLevel="0" collapsed="false">
      <c r="A738" s="39" t="s">
        <v>848</v>
      </c>
      <c r="B738" s="40" t="n">
        <v>46263</v>
      </c>
      <c r="C738" s="39" t="s">
        <v>48</v>
      </c>
      <c r="D738" s="39" t="s">
        <v>39</v>
      </c>
      <c r="E738" s="39" t="s">
        <v>105</v>
      </c>
      <c r="F738" s="39" t="n">
        <v>1</v>
      </c>
      <c r="G738" s="41" t="n">
        <v>468</v>
      </c>
      <c r="H738" s="42" t="n">
        <f aca="false">F738*G738</f>
        <v>468</v>
      </c>
      <c r="I738" s="39" t="s">
        <v>36</v>
      </c>
      <c r="J738" s="39" t="s">
        <v>42</v>
      </c>
      <c r="K738" s="39" t="n">
        <v>5</v>
      </c>
    </row>
    <row r="739" customFormat="false" ht="15" hidden="false" customHeight="false" outlineLevel="0" collapsed="false">
      <c r="A739" s="39" t="s">
        <v>849</v>
      </c>
      <c r="B739" s="40" t="n">
        <v>46263</v>
      </c>
      <c r="C739" s="39" t="s">
        <v>101</v>
      </c>
      <c r="D739" s="39" t="s">
        <v>37</v>
      </c>
      <c r="E739" s="39" t="s">
        <v>131</v>
      </c>
      <c r="F739" s="39" t="n">
        <v>1</v>
      </c>
      <c r="G739" s="41" t="n">
        <v>328</v>
      </c>
      <c r="H739" s="42" t="n">
        <f aca="false">F739*G739</f>
        <v>328</v>
      </c>
      <c r="I739" s="39" t="s">
        <v>34</v>
      </c>
      <c r="J739" s="39" t="s">
        <v>42</v>
      </c>
      <c r="K739" s="39" t="n">
        <v>5</v>
      </c>
    </row>
    <row r="740" customFormat="false" ht="15" hidden="false" customHeight="false" outlineLevel="0" collapsed="false">
      <c r="A740" s="39" t="s">
        <v>850</v>
      </c>
      <c r="B740" s="40" t="n">
        <v>46263</v>
      </c>
      <c r="C740" s="39" t="s">
        <v>53</v>
      </c>
      <c r="D740" s="39" t="s">
        <v>33</v>
      </c>
      <c r="E740" s="39" t="s">
        <v>117</v>
      </c>
      <c r="F740" s="39" t="n">
        <v>1</v>
      </c>
      <c r="G740" s="41" t="n">
        <v>658</v>
      </c>
      <c r="H740" s="42" t="n">
        <f aca="false">F740*G740</f>
        <v>658</v>
      </c>
      <c r="I740" s="39" t="s">
        <v>36</v>
      </c>
      <c r="J740" s="39" t="s">
        <v>42</v>
      </c>
      <c r="K740" s="39" t="n">
        <v>2</v>
      </c>
    </row>
    <row r="741" customFormat="false" ht="15" hidden="false" customHeight="false" outlineLevel="0" collapsed="false">
      <c r="A741" s="39" t="s">
        <v>851</v>
      </c>
      <c r="B741" s="40" t="n">
        <v>46263</v>
      </c>
      <c r="C741" s="39" t="s">
        <v>52</v>
      </c>
      <c r="D741" s="39" t="s">
        <v>35</v>
      </c>
      <c r="E741" s="39" t="s">
        <v>159</v>
      </c>
      <c r="F741" s="39" t="n">
        <v>3</v>
      </c>
      <c r="G741" s="41" t="n">
        <v>788</v>
      </c>
      <c r="H741" s="42" t="n">
        <f aca="false">F741*G741</f>
        <v>2364</v>
      </c>
      <c r="I741" s="39" t="s">
        <v>36</v>
      </c>
      <c r="J741" s="39" t="s">
        <v>45</v>
      </c>
      <c r="K741" s="39"/>
    </row>
    <row r="742" customFormat="false" ht="15" hidden="false" customHeight="false" outlineLevel="0" collapsed="false">
      <c r="A742" s="39" t="s">
        <v>852</v>
      </c>
      <c r="B742" s="40" t="n">
        <v>46263</v>
      </c>
      <c r="C742" s="39" t="s">
        <v>52</v>
      </c>
      <c r="D742" s="39" t="s">
        <v>37</v>
      </c>
      <c r="E742" s="39" t="s">
        <v>141</v>
      </c>
      <c r="F742" s="39" t="n">
        <v>2</v>
      </c>
      <c r="G742" s="41" t="n">
        <v>288</v>
      </c>
      <c r="H742" s="42" t="n">
        <f aca="false">F742*G742</f>
        <v>576</v>
      </c>
      <c r="I742" s="39" t="s">
        <v>34</v>
      </c>
      <c r="J742" s="39" t="s">
        <v>42</v>
      </c>
      <c r="K742" s="39" t="n">
        <v>5</v>
      </c>
    </row>
    <row r="743" customFormat="false" ht="15" hidden="false" customHeight="false" outlineLevel="0" collapsed="false">
      <c r="A743" s="39" t="s">
        <v>853</v>
      </c>
      <c r="B743" s="40" t="n">
        <v>46263</v>
      </c>
      <c r="C743" s="39" t="s">
        <v>49</v>
      </c>
      <c r="D743" s="39" t="s">
        <v>39</v>
      </c>
      <c r="E743" s="39" t="s">
        <v>129</v>
      </c>
      <c r="F743" s="39" t="n">
        <v>1</v>
      </c>
      <c r="G743" s="41" t="n">
        <v>1128</v>
      </c>
      <c r="H743" s="42" t="n">
        <f aca="false">F743*G743</f>
        <v>1128</v>
      </c>
      <c r="I743" s="39" t="s">
        <v>34</v>
      </c>
      <c r="J743" s="39" t="s">
        <v>42</v>
      </c>
      <c r="K743" s="39" t="n">
        <v>4</v>
      </c>
    </row>
    <row r="744" customFormat="false" ht="15" hidden="false" customHeight="false" outlineLevel="0" collapsed="false">
      <c r="A744" s="39" t="s">
        <v>854</v>
      </c>
      <c r="B744" s="40" t="n">
        <v>46263</v>
      </c>
      <c r="C744" s="39" t="s">
        <v>109</v>
      </c>
      <c r="D744" s="39" t="s">
        <v>35</v>
      </c>
      <c r="E744" s="39" t="s">
        <v>159</v>
      </c>
      <c r="F744" s="39" t="n">
        <v>1</v>
      </c>
      <c r="G744" s="41" t="n">
        <v>288</v>
      </c>
      <c r="H744" s="42" t="n">
        <f aca="false">F744*G744</f>
        <v>288</v>
      </c>
      <c r="I744" s="39" t="s">
        <v>34</v>
      </c>
      <c r="J744" s="39" t="s">
        <v>42</v>
      </c>
      <c r="K744" s="39" t="n">
        <v>6</v>
      </c>
    </row>
    <row r="745" customFormat="false" ht="15" hidden="false" customHeight="false" outlineLevel="0" collapsed="false">
      <c r="A745" s="39" t="s">
        <v>855</v>
      </c>
      <c r="B745" s="40" t="n">
        <v>46263</v>
      </c>
      <c r="C745" s="39" t="s">
        <v>52</v>
      </c>
      <c r="D745" s="39" t="s">
        <v>38</v>
      </c>
      <c r="E745" s="39" t="s">
        <v>110</v>
      </c>
      <c r="F745" s="39" t="n">
        <v>1</v>
      </c>
      <c r="G745" s="41" t="n">
        <v>958</v>
      </c>
      <c r="H745" s="42" t="n">
        <f aca="false">F745*G745</f>
        <v>958</v>
      </c>
      <c r="I745" s="39" t="s">
        <v>36</v>
      </c>
      <c r="J745" s="39" t="s">
        <v>42</v>
      </c>
      <c r="K745" s="39" t="n">
        <v>2</v>
      </c>
    </row>
    <row r="746" customFormat="false" ht="15" hidden="false" customHeight="false" outlineLevel="0" collapsed="false">
      <c r="A746" s="39" t="s">
        <v>856</v>
      </c>
      <c r="B746" s="40" t="n">
        <v>46263</v>
      </c>
      <c r="C746" s="39" t="s">
        <v>53</v>
      </c>
      <c r="D746" s="39" t="s">
        <v>37</v>
      </c>
      <c r="E746" s="39" t="s">
        <v>97</v>
      </c>
      <c r="F746" s="39" t="n">
        <v>2</v>
      </c>
      <c r="G746" s="41" t="n">
        <v>618</v>
      </c>
      <c r="H746" s="42" t="n">
        <f aca="false">F746*G746</f>
        <v>1236</v>
      </c>
      <c r="I746" s="39" t="s">
        <v>36</v>
      </c>
      <c r="J746" s="39" t="s">
        <v>47</v>
      </c>
      <c r="K746" s="39"/>
    </row>
    <row r="747" customFormat="false" ht="15" hidden="false" customHeight="false" outlineLevel="0" collapsed="false">
      <c r="A747" s="39" t="s">
        <v>857</v>
      </c>
      <c r="B747" s="40" t="n">
        <v>46263</v>
      </c>
      <c r="C747" s="39" t="s">
        <v>51</v>
      </c>
      <c r="D747" s="39" t="s">
        <v>37</v>
      </c>
      <c r="E747" s="39" t="s">
        <v>141</v>
      </c>
      <c r="F747" s="39" t="n">
        <v>2</v>
      </c>
      <c r="G747" s="41" t="n">
        <v>388</v>
      </c>
      <c r="H747" s="42" t="n">
        <f aca="false">F747*G747</f>
        <v>776</v>
      </c>
      <c r="I747" s="39" t="s">
        <v>36</v>
      </c>
      <c r="J747" s="39" t="s">
        <v>42</v>
      </c>
      <c r="K747" s="39" t="n">
        <v>4</v>
      </c>
    </row>
    <row r="748" customFormat="false" ht="15" hidden="false" customHeight="false" outlineLevel="0" collapsed="false">
      <c r="A748" s="39" t="s">
        <v>858</v>
      </c>
      <c r="B748" s="40" t="n">
        <v>46263</v>
      </c>
      <c r="C748" s="39" t="s">
        <v>51</v>
      </c>
      <c r="D748" s="39" t="s">
        <v>35</v>
      </c>
      <c r="E748" s="39" t="s">
        <v>95</v>
      </c>
      <c r="F748" s="39" t="n">
        <v>1</v>
      </c>
      <c r="G748" s="41" t="n">
        <v>338</v>
      </c>
      <c r="H748" s="42" t="n">
        <f aca="false">F748*G748</f>
        <v>338</v>
      </c>
      <c r="I748" s="39" t="s">
        <v>36</v>
      </c>
      <c r="J748" s="39" t="s">
        <v>45</v>
      </c>
      <c r="K748" s="39"/>
    </row>
    <row r="749" customFormat="false" ht="15" hidden="false" customHeight="false" outlineLevel="0" collapsed="false">
      <c r="A749" s="39" t="s">
        <v>859</v>
      </c>
      <c r="B749" s="40" t="n">
        <v>46263</v>
      </c>
      <c r="C749" s="39" t="s">
        <v>49</v>
      </c>
      <c r="D749" s="39" t="s">
        <v>33</v>
      </c>
      <c r="E749" s="39" t="s">
        <v>136</v>
      </c>
      <c r="F749" s="39" t="n">
        <v>1</v>
      </c>
      <c r="G749" s="41" t="n">
        <v>878</v>
      </c>
      <c r="H749" s="42" t="n">
        <f aca="false">F749*G749</f>
        <v>878</v>
      </c>
      <c r="I749" s="39" t="s">
        <v>36</v>
      </c>
      <c r="J749" s="39" t="s">
        <v>42</v>
      </c>
      <c r="K749" s="39" t="n">
        <v>3</v>
      </c>
    </row>
    <row r="750" customFormat="false" ht="15" hidden="false" customHeight="false" outlineLevel="0" collapsed="false">
      <c r="A750" s="39" t="s">
        <v>860</v>
      </c>
      <c r="B750" s="40" t="n">
        <v>46263</v>
      </c>
      <c r="C750" s="39" t="s">
        <v>50</v>
      </c>
      <c r="D750" s="39" t="s">
        <v>39</v>
      </c>
      <c r="E750" s="39" t="s">
        <v>105</v>
      </c>
      <c r="F750" s="39" t="n">
        <v>1</v>
      </c>
      <c r="G750" s="41" t="n">
        <v>588</v>
      </c>
      <c r="H750" s="42" t="n">
        <f aca="false">F750*G750</f>
        <v>588</v>
      </c>
      <c r="I750" s="39" t="s">
        <v>34</v>
      </c>
      <c r="J750" s="39" t="s">
        <v>42</v>
      </c>
      <c r="K750" s="39" t="n">
        <v>3</v>
      </c>
    </row>
    <row r="751" customFormat="false" ht="15" hidden="false" customHeight="false" outlineLevel="0" collapsed="false">
      <c r="A751" s="39" t="s">
        <v>861</v>
      </c>
      <c r="B751" s="40" t="n">
        <v>46263</v>
      </c>
      <c r="C751" s="39" t="s">
        <v>52</v>
      </c>
      <c r="D751" s="39" t="s">
        <v>35</v>
      </c>
      <c r="E751" s="39" t="s">
        <v>159</v>
      </c>
      <c r="F751" s="39" t="n">
        <v>1</v>
      </c>
      <c r="G751" s="41" t="n">
        <v>438</v>
      </c>
      <c r="H751" s="42" t="n">
        <f aca="false">F751*G751</f>
        <v>438</v>
      </c>
      <c r="I751" s="39" t="s">
        <v>36</v>
      </c>
      <c r="J751" s="39" t="s">
        <v>42</v>
      </c>
      <c r="K751" s="39" t="n">
        <v>4</v>
      </c>
    </row>
    <row r="752" customFormat="false" ht="15" hidden="false" customHeight="false" outlineLevel="0" collapsed="false">
      <c r="A752" s="39" t="s">
        <v>862</v>
      </c>
      <c r="B752" s="40" t="n">
        <v>46263</v>
      </c>
      <c r="C752" s="39" t="s">
        <v>50</v>
      </c>
      <c r="D752" s="39" t="s">
        <v>33</v>
      </c>
      <c r="E752" s="39" t="s">
        <v>102</v>
      </c>
      <c r="F752" s="39" t="n">
        <v>2</v>
      </c>
      <c r="G752" s="41" t="n">
        <v>488</v>
      </c>
      <c r="H752" s="42" t="n">
        <f aca="false">F752*G752</f>
        <v>976</v>
      </c>
      <c r="I752" s="39" t="s">
        <v>34</v>
      </c>
      <c r="J752" s="39" t="s">
        <v>42</v>
      </c>
      <c r="K752" s="39" t="n">
        <v>6</v>
      </c>
    </row>
    <row r="753" customFormat="false" ht="15" hidden="false" customHeight="false" outlineLevel="0" collapsed="false">
      <c r="A753" s="39" t="s">
        <v>863</v>
      </c>
      <c r="B753" s="40" t="n">
        <v>46263</v>
      </c>
      <c r="C753" s="39" t="s">
        <v>51</v>
      </c>
      <c r="D753" s="39" t="s">
        <v>33</v>
      </c>
      <c r="E753" s="39" t="s">
        <v>136</v>
      </c>
      <c r="F753" s="39" t="n">
        <v>1</v>
      </c>
      <c r="G753" s="41" t="n">
        <v>838</v>
      </c>
      <c r="H753" s="42" t="n">
        <f aca="false">F753*G753</f>
        <v>838</v>
      </c>
      <c r="I753" s="39" t="s">
        <v>36</v>
      </c>
      <c r="J753" s="39" t="s">
        <v>47</v>
      </c>
      <c r="K753" s="39"/>
    </row>
    <row r="754" customFormat="false" ht="15" hidden="false" customHeight="false" outlineLevel="0" collapsed="false">
      <c r="A754" s="39" t="s">
        <v>864</v>
      </c>
      <c r="B754" s="40" t="n">
        <v>46263</v>
      </c>
      <c r="C754" s="39" t="s">
        <v>53</v>
      </c>
      <c r="D754" s="39" t="s">
        <v>33</v>
      </c>
      <c r="E754" s="39" t="s">
        <v>117</v>
      </c>
      <c r="F754" s="39" t="n">
        <v>3</v>
      </c>
      <c r="G754" s="41" t="n">
        <v>648</v>
      </c>
      <c r="H754" s="42" t="n">
        <f aca="false">F754*G754</f>
        <v>1944</v>
      </c>
      <c r="I754" s="39" t="s">
        <v>34</v>
      </c>
      <c r="J754" s="39" t="s">
        <v>42</v>
      </c>
      <c r="K754" s="39" t="n">
        <v>4</v>
      </c>
    </row>
    <row r="755" customFormat="false" ht="15" hidden="false" customHeight="false" outlineLevel="0" collapsed="false">
      <c r="A755" s="39" t="s">
        <v>865</v>
      </c>
      <c r="B755" s="40" t="n">
        <v>46264</v>
      </c>
      <c r="C755" s="39" t="s">
        <v>48</v>
      </c>
      <c r="D755" s="39" t="s">
        <v>35</v>
      </c>
      <c r="E755" s="39" t="s">
        <v>159</v>
      </c>
      <c r="F755" s="39" t="n">
        <v>3</v>
      </c>
      <c r="G755" s="41" t="n">
        <v>578</v>
      </c>
      <c r="H755" s="42" t="n">
        <f aca="false">F755*G755</f>
        <v>1734</v>
      </c>
      <c r="I755" s="39" t="s">
        <v>34</v>
      </c>
      <c r="J755" s="39" t="s">
        <v>42</v>
      </c>
      <c r="K755" s="39" t="n">
        <v>5</v>
      </c>
    </row>
    <row r="756" customFormat="false" ht="15" hidden="false" customHeight="false" outlineLevel="0" collapsed="false">
      <c r="A756" s="39" t="s">
        <v>866</v>
      </c>
      <c r="B756" s="40" t="n">
        <v>46264</v>
      </c>
      <c r="C756" s="39" t="s">
        <v>49</v>
      </c>
      <c r="D756" s="39" t="s">
        <v>37</v>
      </c>
      <c r="E756" s="39" t="s">
        <v>97</v>
      </c>
      <c r="F756" s="39" t="n">
        <v>1</v>
      </c>
      <c r="G756" s="41" t="n">
        <v>438</v>
      </c>
      <c r="H756" s="42" t="n">
        <f aca="false">F756*G756</f>
        <v>438</v>
      </c>
      <c r="I756" s="39" t="s">
        <v>34</v>
      </c>
      <c r="J756" s="39" t="s">
        <v>42</v>
      </c>
      <c r="K756" s="39" t="n">
        <v>3</v>
      </c>
    </row>
    <row r="757" customFormat="false" ht="15" hidden="false" customHeight="false" outlineLevel="0" collapsed="false">
      <c r="A757" s="39" t="s">
        <v>867</v>
      </c>
      <c r="B757" s="40" t="n">
        <v>46264</v>
      </c>
      <c r="C757" s="39" t="s">
        <v>109</v>
      </c>
      <c r="D757" s="39" t="s">
        <v>39</v>
      </c>
      <c r="E757" s="39" t="s">
        <v>99</v>
      </c>
      <c r="F757" s="39" t="n">
        <v>2</v>
      </c>
      <c r="G757" s="41" t="n">
        <v>478</v>
      </c>
      <c r="H757" s="42" t="n">
        <f aca="false">F757*G757</f>
        <v>956</v>
      </c>
      <c r="I757" s="39" t="s">
        <v>36</v>
      </c>
      <c r="J757" s="39" t="s">
        <v>42</v>
      </c>
      <c r="K757" s="39" t="n">
        <v>3</v>
      </c>
    </row>
    <row r="758" customFormat="false" ht="15" hidden="false" customHeight="false" outlineLevel="0" collapsed="false">
      <c r="A758" s="39" t="s">
        <v>868</v>
      </c>
      <c r="B758" s="40" t="n">
        <v>46264</v>
      </c>
      <c r="C758" s="39" t="s">
        <v>50</v>
      </c>
      <c r="D758" s="39" t="s">
        <v>38</v>
      </c>
      <c r="E758" s="39" t="s">
        <v>121</v>
      </c>
      <c r="F758" s="39" t="n">
        <v>2</v>
      </c>
      <c r="G758" s="41" t="n">
        <v>388</v>
      </c>
      <c r="H758" s="42" t="n">
        <f aca="false">F758*G758</f>
        <v>776</v>
      </c>
      <c r="I758" s="39" t="s">
        <v>34</v>
      </c>
      <c r="J758" s="39" t="s">
        <v>42</v>
      </c>
      <c r="K758" s="39" t="n">
        <v>4</v>
      </c>
    </row>
    <row r="759" customFormat="false" ht="15" hidden="false" customHeight="false" outlineLevel="0" collapsed="false">
      <c r="A759" s="39" t="s">
        <v>869</v>
      </c>
      <c r="B759" s="40" t="n">
        <v>46264</v>
      </c>
      <c r="C759" s="39" t="s">
        <v>50</v>
      </c>
      <c r="D759" s="39" t="s">
        <v>37</v>
      </c>
      <c r="E759" s="39" t="s">
        <v>97</v>
      </c>
      <c r="F759" s="39" t="n">
        <v>1</v>
      </c>
      <c r="G759" s="41" t="n">
        <v>368</v>
      </c>
      <c r="H759" s="42" t="n">
        <f aca="false">F759*G759</f>
        <v>368</v>
      </c>
      <c r="I759" s="39" t="s">
        <v>36</v>
      </c>
      <c r="J759" s="39" t="s">
        <v>42</v>
      </c>
      <c r="K759" s="39" t="n">
        <v>2</v>
      </c>
    </row>
    <row r="760" customFormat="false" ht="15" hidden="false" customHeight="false" outlineLevel="0" collapsed="false">
      <c r="A760" s="39" t="s">
        <v>870</v>
      </c>
      <c r="B760" s="40" t="n">
        <v>46264</v>
      </c>
      <c r="C760" s="39" t="s">
        <v>50</v>
      </c>
      <c r="D760" s="39" t="s">
        <v>35</v>
      </c>
      <c r="E760" s="39" t="s">
        <v>95</v>
      </c>
      <c r="F760" s="39" t="n">
        <v>2</v>
      </c>
      <c r="G760" s="41" t="n">
        <v>318</v>
      </c>
      <c r="H760" s="42" t="n">
        <f aca="false">F760*G760</f>
        <v>636</v>
      </c>
      <c r="I760" s="39" t="s">
        <v>36</v>
      </c>
      <c r="J760" s="39" t="s">
        <v>42</v>
      </c>
      <c r="K760" s="39" t="n">
        <v>7</v>
      </c>
    </row>
    <row r="761" customFormat="false" ht="15" hidden="false" customHeight="false" outlineLevel="0" collapsed="false">
      <c r="A761" s="39" t="s">
        <v>871</v>
      </c>
      <c r="B761" s="40" t="n">
        <v>46264</v>
      </c>
      <c r="C761" s="39" t="s">
        <v>52</v>
      </c>
      <c r="D761" s="39" t="s">
        <v>33</v>
      </c>
      <c r="E761" s="39" t="s">
        <v>136</v>
      </c>
      <c r="F761" s="39" t="n">
        <v>1</v>
      </c>
      <c r="G761" s="41" t="n">
        <v>678</v>
      </c>
      <c r="H761" s="42" t="n">
        <f aca="false">F761*G761</f>
        <v>678</v>
      </c>
      <c r="I761" s="39" t="s">
        <v>34</v>
      </c>
      <c r="J761" s="39" t="s">
        <v>42</v>
      </c>
      <c r="K761" s="39" t="n">
        <v>2</v>
      </c>
    </row>
    <row r="762" customFormat="false" ht="15" hidden="false" customHeight="false" outlineLevel="0" collapsed="false">
      <c r="A762" s="39" t="s">
        <v>872</v>
      </c>
      <c r="B762" s="40" t="n">
        <v>46264</v>
      </c>
      <c r="C762" s="39" t="s">
        <v>101</v>
      </c>
      <c r="D762" s="39" t="s">
        <v>38</v>
      </c>
      <c r="E762" s="39" t="s">
        <v>121</v>
      </c>
      <c r="F762" s="39" t="n">
        <v>1</v>
      </c>
      <c r="G762" s="41" t="n">
        <v>448</v>
      </c>
      <c r="H762" s="42" t="n">
        <f aca="false">F762*G762</f>
        <v>448</v>
      </c>
      <c r="I762" s="39" t="s">
        <v>34</v>
      </c>
      <c r="J762" s="39" t="s">
        <v>42</v>
      </c>
      <c r="K762" s="39" t="n">
        <v>2</v>
      </c>
    </row>
    <row r="763" customFormat="false" ht="15" hidden="false" customHeight="false" outlineLevel="0" collapsed="false">
      <c r="A763" s="39" t="s">
        <v>873</v>
      </c>
      <c r="B763" s="40" t="n">
        <v>46264</v>
      </c>
      <c r="C763" s="39" t="s">
        <v>49</v>
      </c>
      <c r="D763" s="39" t="s">
        <v>33</v>
      </c>
      <c r="E763" s="39" t="s">
        <v>102</v>
      </c>
      <c r="F763" s="39" t="n">
        <v>1</v>
      </c>
      <c r="G763" s="41" t="n">
        <v>858</v>
      </c>
      <c r="H763" s="42" t="n">
        <f aca="false">F763*G763</f>
        <v>858</v>
      </c>
      <c r="I763" s="39" t="s">
        <v>34</v>
      </c>
      <c r="J763" s="39" t="s">
        <v>42</v>
      </c>
      <c r="K763" s="39" t="n">
        <v>2</v>
      </c>
    </row>
    <row r="764" customFormat="false" ht="15" hidden="false" customHeight="false" outlineLevel="0" collapsed="false">
      <c r="A764" s="39" t="s">
        <v>874</v>
      </c>
      <c r="B764" s="40" t="n">
        <v>46264</v>
      </c>
      <c r="C764" s="39" t="s">
        <v>50</v>
      </c>
      <c r="D764" s="39" t="s">
        <v>33</v>
      </c>
      <c r="E764" s="39" t="s">
        <v>136</v>
      </c>
      <c r="F764" s="39" t="n">
        <v>1</v>
      </c>
      <c r="G764" s="41" t="n">
        <v>548</v>
      </c>
      <c r="H764" s="42" t="n">
        <f aca="false">F764*G764</f>
        <v>548</v>
      </c>
      <c r="I764" s="39" t="s">
        <v>34</v>
      </c>
      <c r="J764" s="39" t="s">
        <v>42</v>
      </c>
      <c r="K764" s="39" t="n">
        <v>4</v>
      </c>
    </row>
    <row r="765" customFormat="false" ht="15" hidden="false" customHeight="false" outlineLevel="0" collapsed="false">
      <c r="A765" s="39" t="s">
        <v>875</v>
      </c>
      <c r="B765" s="40" t="n">
        <v>46264</v>
      </c>
      <c r="C765" s="39" t="s">
        <v>101</v>
      </c>
      <c r="D765" s="39" t="s">
        <v>39</v>
      </c>
      <c r="E765" s="39" t="s">
        <v>129</v>
      </c>
      <c r="F765" s="39" t="n">
        <v>1</v>
      </c>
      <c r="G765" s="41" t="n">
        <v>1068</v>
      </c>
      <c r="H765" s="42" t="n">
        <f aca="false">F765*G765</f>
        <v>1068</v>
      </c>
      <c r="I765" s="39" t="s">
        <v>36</v>
      </c>
      <c r="J765" s="39" t="s">
        <v>47</v>
      </c>
      <c r="K765" s="39"/>
    </row>
    <row r="766" customFormat="false" ht="15" hidden="false" customHeight="false" outlineLevel="0" collapsed="false">
      <c r="A766" s="39" t="s">
        <v>876</v>
      </c>
      <c r="B766" s="40" t="n">
        <v>46264</v>
      </c>
      <c r="C766" s="39" t="s">
        <v>53</v>
      </c>
      <c r="D766" s="39" t="s">
        <v>38</v>
      </c>
      <c r="E766" s="39" t="s">
        <v>107</v>
      </c>
      <c r="F766" s="39" t="n">
        <v>1</v>
      </c>
      <c r="G766" s="41" t="n">
        <v>718</v>
      </c>
      <c r="H766" s="42" t="n">
        <f aca="false">F766*G766</f>
        <v>718</v>
      </c>
      <c r="I766" s="39" t="s">
        <v>34</v>
      </c>
      <c r="J766" s="39" t="s">
        <v>47</v>
      </c>
      <c r="K766" s="39"/>
    </row>
    <row r="767" customFormat="false" ht="15" hidden="false" customHeight="false" outlineLevel="0" collapsed="false">
      <c r="A767" s="39" t="s">
        <v>877</v>
      </c>
      <c r="B767" s="40" t="n">
        <v>46264</v>
      </c>
      <c r="C767" s="39" t="s">
        <v>52</v>
      </c>
      <c r="D767" s="39" t="s">
        <v>33</v>
      </c>
      <c r="E767" s="39" t="s">
        <v>136</v>
      </c>
      <c r="F767" s="39" t="n">
        <v>2</v>
      </c>
      <c r="G767" s="41" t="n">
        <v>748</v>
      </c>
      <c r="H767" s="42" t="n">
        <f aca="false">F767*G767</f>
        <v>1496</v>
      </c>
      <c r="I767" s="39" t="s">
        <v>34</v>
      </c>
      <c r="J767" s="39" t="s">
        <v>42</v>
      </c>
      <c r="K767" s="39" t="n">
        <v>5</v>
      </c>
    </row>
    <row r="768" customFormat="false" ht="15" hidden="false" customHeight="false" outlineLevel="0" collapsed="false">
      <c r="A768" s="39" t="s">
        <v>878</v>
      </c>
      <c r="B768" s="40" t="n">
        <v>46264</v>
      </c>
      <c r="C768" s="39" t="s">
        <v>51</v>
      </c>
      <c r="D768" s="39" t="s">
        <v>37</v>
      </c>
      <c r="E768" s="39" t="s">
        <v>141</v>
      </c>
      <c r="F768" s="39" t="n">
        <v>1</v>
      </c>
      <c r="G768" s="41" t="n">
        <v>608</v>
      </c>
      <c r="H768" s="42" t="n">
        <f aca="false">F768*G768</f>
        <v>608</v>
      </c>
      <c r="I768" s="39" t="s">
        <v>34</v>
      </c>
      <c r="J768" s="39" t="s">
        <v>42</v>
      </c>
      <c r="K768" s="39" t="n">
        <v>2</v>
      </c>
    </row>
    <row r="769" customFormat="false" ht="15" hidden="false" customHeight="false" outlineLevel="0" collapsed="false">
      <c r="A769" s="39" t="s">
        <v>879</v>
      </c>
      <c r="B769" s="40" t="n">
        <v>46264</v>
      </c>
      <c r="C769" s="39" t="s">
        <v>49</v>
      </c>
      <c r="D769" s="39" t="s">
        <v>39</v>
      </c>
      <c r="E769" s="39" t="s">
        <v>99</v>
      </c>
      <c r="F769" s="39" t="n">
        <v>2</v>
      </c>
      <c r="G769" s="41" t="n">
        <v>918</v>
      </c>
      <c r="H769" s="42" t="n">
        <f aca="false">F769*G769</f>
        <v>1836</v>
      </c>
      <c r="I769" s="39" t="s">
        <v>34</v>
      </c>
      <c r="J769" s="39" t="s">
        <v>42</v>
      </c>
      <c r="K769" s="39" t="n">
        <v>5</v>
      </c>
    </row>
    <row r="770" customFormat="false" ht="15" hidden="false" customHeight="false" outlineLevel="0" collapsed="false">
      <c r="A770" s="39" t="s">
        <v>880</v>
      </c>
      <c r="B770" s="40" t="n">
        <v>46264</v>
      </c>
      <c r="C770" s="39" t="s">
        <v>49</v>
      </c>
      <c r="D770" s="39" t="s">
        <v>35</v>
      </c>
      <c r="E770" s="39" t="s">
        <v>95</v>
      </c>
      <c r="F770" s="39" t="n">
        <v>1</v>
      </c>
      <c r="G770" s="41" t="n">
        <v>458</v>
      </c>
      <c r="H770" s="42" t="n">
        <f aca="false">F770*G770</f>
        <v>458</v>
      </c>
      <c r="I770" s="39" t="s">
        <v>36</v>
      </c>
      <c r="J770" s="39" t="s">
        <v>42</v>
      </c>
      <c r="K770" s="39" t="n">
        <v>4</v>
      </c>
    </row>
    <row r="771" customFormat="false" ht="15" hidden="false" customHeight="false" outlineLevel="0" collapsed="false">
      <c r="A771" s="39" t="s">
        <v>881</v>
      </c>
      <c r="B771" s="40" t="n">
        <v>46264</v>
      </c>
      <c r="C771" s="39" t="s">
        <v>101</v>
      </c>
      <c r="D771" s="39" t="s">
        <v>37</v>
      </c>
      <c r="E771" s="39" t="s">
        <v>141</v>
      </c>
      <c r="F771" s="39" t="n">
        <v>1</v>
      </c>
      <c r="G771" s="41" t="n">
        <v>208</v>
      </c>
      <c r="H771" s="42" t="n">
        <f aca="false">F771*G771</f>
        <v>208</v>
      </c>
      <c r="I771" s="39" t="s">
        <v>34</v>
      </c>
      <c r="J771" s="39" t="s">
        <v>42</v>
      </c>
      <c r="K771" s="39" t="n">
        <v>6</v>
      </c>
    </row>
    <row r="772" customFormat="false" ht="15" hidden="false" customHeight="false" outlineLevel="0" collapsed="false">
      <c r="A772" s="39" t="s">
        <v>882</v>
      </c>
      <c r="B772" s="40" t="n">
        <v>46264</v>
      </c>
      <c r="C772" s="39" t="s">
        <v>48</v>
      </c>
      <c r="D772" s="39" t="s">
        <v>33</v>
      </c>
      <c r="E772" s="39" t="s">
        <v>102</v>
      </c>
      <c r="F772" s="39" t="n">
        <v>3</v>
      </c>
      <c r="G772" s="41" t="n">
        <v>808</v>
      </c>
      <c r="H772" s="42" t="n">
        <f aca="false">F772*G772</f>
        <v>2424</v>
      </c>
      <c r="I772" s="39" t="s">
        <v>36</v>
      </c>
      <c r="J772" s="39" t="s">
        <v>42</v>
      </c>
      <c r="K772" s="39" t="n">
        <v>5</v>
      </c>
    </row>
    <row r="773" customFormat="false" ht="15" hidden="false" customHeight="false" outlineLevel="0" collapsed="false">
      <c r="A773" s="39" t="s">
        <v>883</v>
      </c>
      <c r="B773" s="40" t="n">
        <v>46264</v>
      </c>
      <c r="C773" s="39" t="s">
        <v>52</v>
      </c>
      <c r="D773" s="39" t="s">
        <v>35</v>
      </c>
      <c r="E773" s="39" t="s">
        <v>95</v>
      </c>
      <c r="F773" s="39" t="n">
        <v>1</v>
      </c>
      <c r="G773" s="41" t="n">
        <v>578</v>
      </c>
      <c r="H773" s="42" t="n">
        <f aca="false">F773*G773</f>
        <v>578</v>
      </c>
      <c r="I773" s="39" t="s">
        <v>34</v>
      </c>
      <c r="J773" s="39" t="s">
        <v>42</v>
      </c>
      <c r="K773" s="39" t="n">
        <v>5</v>
      </c>
    </row>
    <row r="774" customFormat="false" ht="15" hidden="false" customHeight="false" outlineLevel="0" collapsed="false">
      <c r="A774" s="39" t="s">
        <v>884</v>
      </c>
      <c r="B774" s="40" t="n">
        <v>46264</v>
      </c>
      <c r="C774" s="39" t="s">
        <v>49</v>
      </c>
      <c r="D774" s="39" t="s">
        <v>39</v>
      </c>
      <c r="E774" s="39" t="s">
        <v>129</v>
      </c>
      <c r="F774" s="39" t="n">
        <v>1</v>
      </c>
      <c r="G774" s="41" t="n">
        <v>988</v>
      </c>
      <c r="H774" s="42" t="n">
        <f aca="false">F774*G774</f>
        <v>988</v>
      </c>
      <c r="I774" s="39" t="s">
        <v>36</v>
      </c>
      <c r="J774" s="39" t="s">
        <v>42</v>
      </c>
      <c r="K774" s="39" t="n">
        <v>4</v>
      </c>
    </row>
    <row r="775" customFormat="false" ht="15" hidden="false" customHeight="false" outlineLevel="0" collapsed="false">
      <c r="A775" s="39" t="s">
        <v>885</v>
      </c>
      <c r="B775" s="40" t="n">
        <v>46265</v>
      </c>
      <c r="C775" s="39" t="s">
        <v>51</v>
      </c>
      <c r="D775" s="39" t="s">
        <v>35</v>
      </c>
      <c r="E775" s="39" t="s">
        <v>125</v>
      </c>
      <c r="F775" s="39" t="n">
        <v>1</v>
      </c>
      <c r="G775" s="41" t="n">
        <v>608</v>
      </c>
      <c r="H775" s="42" t="n">
        <f aca="false">F775*G775</f>
        <v>608</v>
      </c>
      <c r="I775" s="39" t="s">
        <v>34</v>
      </c>
      <c r="J775" s="39" t="s">
        <v>42</v>
      </c>
      <c r="K775" s="39" t="n">
        <v>4</v>
      </c>
    </row>
    <row r="776" customFormat="false" ht="15" hidden="false" customHeight="false" outlineLevel="0" collapsed="false">
      <c r="A776" s="39" t="s">
        <v>886</v>
      </c>
      <c r="B776" s="40" t="n">
        <v>46265</v>
      </c>
      <c r="C776" s="39" t="s">
        <v>48</v>
      </c>
      <c r="D776" s="39" t="s">
        <v>35</v>
      </c>
      <c r="E776" s="39" t="s">
        <v>95</v>
      </c>
      <c r="F776" s="39" t="n">
        <v>1</v>
      </c>
      <c r="G776" s="41" t="n">
        <v>618</v>
      </c>
      <c r="H776" s="42" t="n">
        <f aca="false">F776*G776</f>
        <v>618</v>
      </c>
      <c r="I776" s="39" t="s">
        <v>36</v>
      </c>
      <c r="J776" s="39" t="s">
        <v>47</v>
      </c>
      <c r="K776" s="39"/>
    </row>
    <row r="777" customFormat="false" ht="15" hidden="false" customHeight="false" outlineLevel="0" collapsed="false">
      <c r="A777" s="39" t="s">
        <v>887</v>
      </c>
      <c r="B777" s="40" t="n">
        <v>46265</v>
      </c>
      <c r="C777" s="39" t="s">
        <v>49</v>
      </c>
      <c r="D777" s="39" t="s">
        <v>38</v>
      </c>
      <c r="E777" s="39" t="s">
        <v>110</v>
      </c>
      <c r="F777" s="39" t="n">
        <v>1</v>
      </c>
      <c r="G777" s="41" t="n">
        <v>548</v>
      </c>
      <c r="H777" s="42" t="n">
        <f aca="false">F777*G777</f>
        <v>548</v>
      </c>
      <c r="I777" s="39" t="s">
        <v>36</v>
      </c>
      <c r="J777" s="39" t="s">
        <v>42</v>
      </c>
      <c r="K777" s="39" t="n">
        <v>3</v>
      </c>
    </row>
    <row r="778" customFormat="false" ht="15" hidden="false" customHeight="false" outlineLevel="0" collapsed="false">
      <c r="A778" s="39" t="s">
        <v>888</v>
      </c>
      <c r="B778" s="40" t="n">
        <v>46265</v>
      </c>
      <c r="C778" s="39" t="s">
        <v>51</v>
      </c>
      <c r="D778" s="39" t="s">
        <v>33</v>
      </c>
      <c r="E778" s="39" t="s">
        <v>102</v>
      </c>
      <c r="F778" s="39" t="n">
        <v>1</v>
      </c>
      <c r="G778" s="41" t="n">
        <v>458</v>
      </c>
      <c r="H778" s="42" t="n">
        <f aca="false">F778*G778</f>
        <v>458</v>
      </c>
      <c r="I778" s="39" t="s">
        <v>34</v>
      </c>
      <c r="J778" s="39" t="s">
        <v>42</v>
      </c>
      <c r="K778" s="39" t="n">
        <v>4</v>
      </c>
    </row>
    <row r="779" customFormat="false" ht="15" hidden="false" customHeight="false" outlineLevel="0" collapsed="false">
      <c r="A779" s="39" t="s">
        <v>889</v>
      </c>
      <c r="B779" s="40" t="n">
        <v>46265</v>
      </c>
      <c r="C779" s="39" t="s">
        <v>50</v>
      </c>
      <c r="D779" s="39" t="s">
        <v>33</v>
      </c>
      <c r="E779" s="39" t="s">
        <v>114</v>
      </c>
      <c r="F779" s="39" t="n">
        <v>1</v>
      </c>
      <c r="G779" s="41" t="n">
        <v>718</v>
      </c>
      <c r="H779" s="42" t="n">
        <f aca="false">F779*G779</f>
        <v>718</v>
      </c>
      <c r="I779" s="39" t="s">
        <v>34</v>
      </c>
      <c r="J779" s="39" t="s">
        <v>42</v>
      </c>
      <c r="K779" s="39" t="n">
        <v>5</v>
      </c>
    </row>
    <row r="780" customFormat="false" ht="15" hidden="false" customHeight="false" outlineLevel="0" collapsed="false">
      <c r="A780" s="39" t="s">
        <v>890</v>
      </c>
      <c r="B780" s="40" t="n">
        <v>46265</v>
      </c>
      <c r="C780" s="39" t="s">
        <v>50</v>
      </c>
      <c r="D780" s="39" t="s">
        <v>39</v>
      </c>
      <c r="E780" s="39" t="s">
        <v>129</v>
      </c>
      <c r="F780" s="39" t="n">
        <v>1</v>
      </c>
      <c r="G780" s="41" t="n">
        <v>558</v>
      </c>
      <c r="H780" s="42" t="n">
        <f aca="false">F780*G780</f>
        <v>558</v>
      </c>
      <c r="I780" s="39" t="s">
        <v>36</v>
      </c>
      <c r="J780" s="39" t="s">
        <v>42</v>
      </c>
      <c r="K780" s="39" t="n">
        <v>3</v>
      </c>
    </row>
    <row r="781" customFormat="false" ht="15" hidden="false" customHeight="false" outlineLevel="0" collapsed="false">
      <c r="A781" s="39" t="s">
        <v>891</v>
      </c>
      <c r="B781" s="40" t="n">
        <v>46265</v>
      </c>
      <c r="C781" s="39" t="s">
        <v>50</v>
      </c>
      <c r="D781" s="39" t="s">
        <v>33</v>
      </c>
      <c r="E781" s="39" t="s">
        <v>114</v>
      </c>
      <c r="F781" s="39" t="n">
        <v>2</v>
      </c>
      <c r="G781" s="41" t="n">
        <v>488</v>
      </c>
      <c r="H781" s="42" t="n">
        <f aca="false">F781*G781</f>
        <v>976</v>
      </c>
      <c r="I781" s="39" t="s">
        <v>36</v>
      </c>
      <c r="J781" s="39" t="s">
        <v>47</v>
      </c>
      <c r="K781" s="39"/>
    </row>
    <row r="782" customFormat="false" ht="15" hidden="false" customHeight="false" outlineLevel="0" collapsed="false">
      <c r="A782" s="39" t="s">
        <v>892</v>
      </c>
      <c r="B782" s="40" t="n">
        <v>46265</v>
      </c>
      <c r="C782" s="39" t="s">
        <v>109</v>
      </c>
      <c r="D782" s="39" t="s">
        <v>33</v>
      </c>
      <c r="E782" s="39" t="s">
        <v>136</v>
      </c>
      <c r="F782" s="39" t="n">
        <v>1</v>
      </c>
      <c r="G782" s="41" t="n">
        <v>828</v>
      </c>
      <c r="H782" s="42" t="n">
        <f aca="false">F782*G782</f>
        <v>828</v>
      </c>
      <c r="I782" s="39" t="s">
        <v>34</v>
      </c>
      <c r="J782" s="39" t="s">
        <v>42</v>
      </c>
      <c r="K782" s="39" t="n">
        <v>6</v>
      </c>
    </row>
    <row r="783" customFormat="false" ht="15" hidden="false" customHeight="false" outlineLevel="0" collapsed="false">
      <c r="A783" s="39" t="s">
        <v>893</v>
      </c>
      <c r="B783" s="40" t="n">
        <v>46265</v>
      </c>
      <c r="C783" s="39" t="s">
        <v>50</v>
      </c>
      <c r="D783" s="39" t="s">
        <v>35</v>
      </c>
      <c r="E783" s="39" t="s">
        <v>125</v>
      </c>
      <c r="F783" s="39" t="n">
        <v>1</v>
      </c>
      <c r="G783" s="41" t="n">
        <v>798</v>
      </c>
      <c r="H783" s="42" t="n">
        <f aca="false">F783*G783</f>
        <v>798</v>
      </c>
      <c r="I783" s="39" t="s">
        <v>36</v>
      </c>
      <c r="J783" s="39" t="s">
        <v>45</v>
      </c>
      <c r="K783" s="39"/>
    </row>
    <row r="784" customFormat="false" ht="15" hidden="false" customHeight="false" outlineLevel="0" collapsed="false">
      <c r="A784" s="39" t="s">
        <v>894</v>
      </c>
      <c r="B784" s="40" t="n">
        <v>46265</v>
      </c>
      <c r="C784" s="39" t="s">
        <v>51</v>
      </c>
      <c r="D784" s="39" t="s">
        <v>37</v>
      </c>
      <c r="E784" s="39" t="s">
        <v>97</v>
      </c>
      <c r="F784" s="39" t="n">
        <v>1</v>
      </c>
      <c r="G784" s="41" t="n">
        <v>208</v>
      </c>
      <c r="H784" s="42" t="n">
        <f aca="false">F784*G784</f>
        <v>208</v>
      </c>
      <c r="I784" s="39" t="s">
        <v>36</v>
      </c>
      <c r="J784" s="39" t="s">
        <v>42</v>
      </c>
      <c r="K784" s="39" t="n">
        <v>3</v>
      </c>
    </row>
    <row r="785" customFormat="false" ht="15" hidden="false" customHeight="false" outlineLevel="0" collapsed="false">
      <c r="A785" s="39" t="s">
        <v>895</v>
      </c>
      <c r="B785" s="40" t="n">
        <v>46265</v>
      </c>
      <c r="C785" s="39" t="s">
        <v>48</v>
      </c>
      <c r="D785" s="39" t="s">
        <v>38</v>
      </c>
      <c r="E785" s="39" t="s">
        <v>107</v>
      </c>
      <c r="F785" s="39" t="n">
        <v>1</v>
      </c>
      <c r="G785" s="41" t="n">
        <v>748</v>
      </c>
      <c r="H785" s="42" t="n">
        <f aca="false">F785*G785</f>
        <v>748</v>
      </c>
      <c r="I785" s="39" t="s">
        <v>34</v>
      </c>
      <c r="J785" s="39" t="s">
        <v>42</v>
      </c>
      <c r="K785" s="39" t="n">
        <v>5</v>
      </c>
    </row>
    <row r="786" customFormat="false" ht="15" hidden="false" customHeight="false" outlineLevel="0" collapsed="false">
      <c r="A786" s="39" t="s">
        <v>896</v>
      </c>
      <c r="B786" s="40" t="n">
        <v>46266</v>
      </c>
      <c r="C786" s="39" t="s">
        <v>48</v>
      </c>
      <c r="D786" s="39" t="s">
        <v>38</v>
      </c>
      <c r="E786" s="39" t="s">
        <v>110</v>
      </c>
      <c r="F786" s="39" t="n">
        <v>2</v>
      </c>
      <c r="G786" s="41" t="n">
        <v>438</v>
      </c>
      <c r="H786" s="42" t="n">
        <f aca="false">F786*G786</f>
        <v>876</v>
      </c>
      <c r="I786" s="39" t="s">
        <v>36</v>
      </c>
      <c r="J786" s="39" t="s">
        <v>42</v>
      </c>
      <c r="K786" s="39" t="n">
        <v>5</v>
      </c>
    </row>
    <row r="787" customFormat="false" ht="15" hidden="false" customHeight="false" outlineLevel="0" collapsed="false">
      <c r="A787" s="39" t="s">
        <v>897</v>
      </c>
      <c r="B787" s="40" t="n">
        <v>46266</v>
      </c>
      <c r="C787" s="39" t="s">
        <v>52</v>
      </c>
      <c r="D787" s="39" t="s">
        <v>35</v>
      </c>
      <c r="E787" s="39" t="s">
        <v>95</v>
      </c>
      <c r="F787" s="39" t="n">
        <v>1</v>
      </c>
      <c r="G787" s="41" t="n">
        <v>408</v>
      </c>
      <c r="H787" s="42" t="n">
        <f aca="false">F787*G787</f>
        <v>408</v>
      </c>
      <c r="I787" s="39" t="s">
        <v>36</v>
      </c>
      <c r="J787" s="39" t="s">
        <v>47</v>
      </c>
      <c r="K787" s="39"/>
    </row>
    <row r="788" customFormat="false" ht="15" hidden="false" customHeight="false" outlineLevel="0" collapsed="false">
      <c r="A788" s="39" t="s">
        <v>898</v>
      </c>
      <c r="B788" s="40" t="n">
        <v>46266</v>
      </c>
      <c r="C788" s="39" t="s">
        <v>109</v>
      </c>
      <c r="D788" s="39" t="s">
        <v>33</v>
      </c>
      <c r="E788" s="39" t="s">
        <v>136</v>
      </c>
      <c r="F788" s="39" t="n">
        <v>2</v>
      </c>
      <c r="G788" s="41" t="n">
        <v>898</v>
      </c>
      <c r="H788" s="42" t="n">
        <f aca="false">F788*G788</f>
        <v>1796</v>
      </c>
      <c r="I788" s="39" t="s">
        <v>34</v>
      </c>
      <c r="J788" s="39" t="s">
        <v>42</v>
      </c>
      <c r="K788" s="39" t="n">
        <v>6</v>
      </c>
    </row>
    <row r="789" customFormat="false" ht="15" hidden="false" customHeight="false" outlineLevel="0" collapsed="false">
      <c r="A789" s="39" t="s">
        <v>899</v>
      </c>
      <c r="B789" s="40" t="n">
        <v>46266</v>
      </c>
      <c r="C789" s="39" t="s">
        <v>101</v>
      </c>
      <c r="D789" s="39" t="s">
        <v>35</v>
      </c>
      <c r="E789" s="39" t="s">
        <v>125</v>
      </c>
      <c r="F789" s="39" t="n">
        <v>1</v>
      </c>
      <c r="G789" s="41" t="n">
        <v>728</v>
      </c>
      <c r="H789" s="42" t="n">
        <f aca="false">F789*G789</f>
        <v>728</v>
      </c>
      <c r="I789" s="39" t="s">
        <v>36</v>
      </c>
      <c r="J789" s="39" t="s">
        <v>47</v>
      </c>
      <c r="K789" s="39"/>
    </row>
    <row r="790" customFormat="false" ht="15" hidden="false" customHeight="false" outlineLevel="0" collapsed="false">
      <c r="A790" s="39" t="s">
        <v>900</v>
      </c>
      <c r="B790" s="40" t="n">
        <v>46266</v>
      </c>
      <c r="C790" s="39" t="s">
        <v>101</v>
      </c>
      <c r="D790" s="39" t="s">
        <v>38</v>
      </c>
      <c r="E790" s="39" t="s">
        <v>110</v>
      </c>
      <c r="F790" s="39" t="n">
        <v>1</v>
      </c>
      <c r="G790" s="41" t="n">
        <v>828</v>
      </c>
      <c r="H790" s="42" t="n">
        <f aca="false">F790*G790</f>
        <v>828</v>
      </c>
      <c r="I790" s="39" t="s">
        <v>34</v>
      </c>
      <c r="J790" s="39" t="s">
        <v>42</v>
      </c>
      <c r="K790" s="39" t="n">
        <v>2</v>
      </c>
    </row>
    <row r="791" customFormat="false" ht="15" hidden="false" customHeight="false" outlineLevel="0" collapsed="false">
      <c r="A791" s="39" t="s">
        <v>901</v>
      </c>
      <c r="B791" s="40" t="n">
        <v>46266</v>
      </c>
      <c r="C791" s="39" t="s">
        <v>109</v>
      </c>
      <c r="D791" s="39" t="s">
        <v>33</v>
      </c>
      <c r="E791" s="39" t="s">
        <v>136</v>
      </c>
      <c r="F791" s="39" t="n">
        <v>1</v>
      </c>
      <c r="G791" s="41" t="n">
        <v>608</v>
      </c>
      <c r="H791" s="42" t="n">
        <f aca="false">F791*G791</f>
        <v>608</v>
      </c>
      <c r="I791" s="39" t="s">
        <v>34</v>
      </c>
      <c r="J791" s="39" t="s">
        <v>42</v>
      </c>
      <c r="K791" s="39" t="n">
        <v>3</v>
      </c>
    </row>
    <row r="792" customFormat="false" ht="15" hidden="false" customHeight="false" outlineLevel="0" collapsed="false">
      <c r="A792" s="39" t="s">
        <v>902</v>
      </c>
      <c r="B792" s="40" t="n">
        <v>46266</v>
      </c>
      <c r="C792" s="39" t="s">
        <v>109</v>
      </c>
      <c r="D792" s="39" t="s">
        <v>35</v>
      </c>
      <c r="E792" s="39" t="s">
        <v>159</v>
      </c>
      <c r="F792" s="39" t="n">
        <v>2</v>
      </c>
      <c r="G792" s="41" t="n">
        <v>548</v>
      </c>
      <c r="H792" s="42" t="n">
        <f aca="false">F792*G792</f>
        <v>1096</v>
      </c>
      <c r="I792" s="39" t="s">
        <v>36</v>
      </c>
      <c r="J792" s="39" t="s">
        <v>42</v>
      </c>
      <c r="K792" s="39" t="n">
        <v>4</v>
      </c>
    </row>
    <row r="793" customFormat="false" ht="15" hidden="false" customHeight="false" outlineLevel="0" collapsed="false">
      <c r="A793" s="39" t="s">
        <v>903</v>
      </c>
      <c r="B793" s="40" t="n">
        <v>46266</v>
      </c>
      <c r="C793" s="39" t="s">
        <v>53</v>
      </c>
      <c r="D793" s="39" t="s">
        <v>38</v>
      </c>
      <c r="E793" s="39" t="s">
        <v>110</v>
      </c>
      <c r="F793" s="39" t="n">
        <v>3</v>
      </c>
      <c r="G793" s="41" t="n">
        <v>508</v>
      </c>
      <c r="H793" s="42" t="n">
        <f aca="false">F793*G793</f>
        <v>1524</v>
      </c>
      <c r="I793" s="39" t="s">
        <v>34</v>
      </c>
      <c r="J793" s="39" t="s">
        <v>42</v>
      </c>
      <c r="K793" s="39" t="n">
        <v>3</v>
      </c>
    </row>
    <row r="794" customFormat="false" ht="15" hidden="false" customHeight="false" outlineLevel="0" collapsed="false">
      <c r="A794" s="39" t="s">
        <v>904</v>
      </c>
      <c r="B794" s="40" t="n">
        <v>46266</v>
      </c>
      <c r="C794" s="39" t="s">
        <v>49</v>
      </c>
      <c r="D794" s="39" t="s">
        <v>33</v>
      </c>
      <c r="E794" s="39" t="s">
        <v>117</v>
      </c>
      <c r="F794" s="39" t="n">
        <v>1</v>
      </c>
      <c r="G794" s="41" t="n">
        <v>578</v>
      </c>
      <c r="H794" s="42" t="n">
        <f aca="false">F794*G794</f>
        <v>578</v>
      </c>
      <c r="I794" s="39" t="s">
        <v>34</v>
      </c>
      <c r="J794" s="39" t="s">
        <v>42</v>
      </c>
      <c r="K794" s="39" t="n">
        <v>4</v>
      </c>
    </row>
    <row r="795" customFormat="false" ht="15" hidden="false" customHeight="false" outlineLevel="0" collapsed="false">
      <c r="A795" s="39" t="s">
        <v>905</v>
      </c>
      <c r="B795" s="40" t="n">
        <v>46266</v>
      </c>
      <c r="C795" s="39" t="s">
        <v>53</v>
      </c>
      <c r="D795" s="39" t="s">
        <v>37</v>
      </c>
      <c r="E795" s="39" t="s">
        <v>141</v>
      </c>
      <c r="F795" s="39" t="n">
        <v>3</v>
      </c>
      <c r="G795" s="41" t="n">
        <v>598</v>
      </c>
      <c r="H795" s="42" t="n">
        <f aca="false">F795*G795</f>
        <v>1794</v>
      </c>
      <c r="I795" s="39" t="s">
        <v>36</v>
      </c>
      <c r="J795" s="39" t="s">
        <v>45</v>
      </c>
      <c r="K795" s="39"/>
    </row>
    <row r="796" customFormat="false" ht="15" hidden="false" customHeight="false" outlineLevel="0" collapsed="false">
      <c r="A796" s="39" t="s">
        <v>906</v>
      </c>
      <c r="B796" s="40" t="n">
        <v>46266</v>
      </c>
      <c r="C796" s="39" t="s">
        <v>53</v>
      </c>
      <c r="D796" s="39" t="s">
        <v>33</v>
      </c>
      <c r="E796" s="39" t="s">
        <v>114</v>
      </c>
      <c r="F796" s="39" t="n">
        <v>1</v>
      </c>
      <c r="G796" s="41" t="n">
        <v>888</v>
      </c>
      <c r="H796" s="42" t="n">
        <f aca="false">F796*G796</f>
        <v>888</v>
      </c>
      <c r="I796" s="39" t="s">
        <v>34</v>
      </c>
      <c r="J796" s="39" t="s">
        <v>42</v>
      </c>
      <c r="K796" s="39" t="n">
        <v>2</v>
      </c>
    </row>
    <row r="797" customFormat="false" ht="15" hidden="false" customHeight="false" outlineLevel="0" collapsed="false">
      <c r="A797" s="39" t="s">
        <v>907</v>
      </c>
      <c r="B797" s="40" t="n">
        <v>46266</v>
      </c>
      <c r="C797" s="39" t="s">
        <v>49</v>
      </c>
      <c r="D797" s="39" t="s">
        <v>38</v>
      </c>
      <c r="E797" s="39" t="s">
        <v>110</v>
      </c>
      <c r="F797" s="39" t="n">
        <v>1</v>
      </c>
      <c r="G797" s="41" t="n">
        <v>808</v>
      </c>
      <c r="H797" s="42" t="n">
        <f aca="false">F797*G797</f>
        <v>808</v>
      </c>
      <c r="I797" s="39" t="s">
        <v>36</v>
      </c>
      <c r="J797" s="39" t="s">
        <v>42</v>
      </c>
      <c r="K797" s="39" t="n">
        <v>4</v>
      </c>
    </row>
    <row r="798" customFormat="false" ht="15" hidden="false" customHeight="false" outlineLevel="0" collapsed="false">
      <c r="A798" s="39" t="s">
        <v>908</v>
      </c>
      <c r="B798" s="40" t="n">
        <v>46266</v>
      </c>
      <c r="C798" s="39" t="s">
        <v>53</v>
      </c>
      <c r="D798" s="39" t="s">
        <v>35</v>
      </c>
      <c r="E798" s="39" t="s">
        <v>125</v>
      </c>
      <c r="F798" s="39" t="n">
        <v>1</v>
      </c>
      <c r="G798" s="41" t="n">
        <v>288</v>
      </c>
      <c r="H798" s="42" t="n">
        <f aca="false">F798*G798</f>
        <v>288</v>
      </c>
      <c r="I798" s="39" t="s">
        <v>34</v>
      </c>
      <c r="J798" s="39" t="s">
        <v>42</v>
      </c>
      <c r="K798" s="39" t="n">
        <v>3</v>
      </c>
    </row>
    <row r="799" customFormat="false" ht="15" hidden="false" customHeight="false" outlineLevel="0" collapsed="false">
      <c r="A799" s="39" t="s">
        <v>909</v>
      </c>
      <c r="B799" s="40" t="n">
        <v>46266</v>
      </c>
      <c r="C799" s="39" t="s">
        <v>51</v>
      </c>
      <c r="D799" s="39" t="s">
        <v>33</v>
      </c>
      <c r="E799" s="39" t="s">
        <v>114</v>
      </c>
      <c r="F799" s="39" t="n">
        <v>2</v>
      </c>
      <c r="G799" s="41" t="n">
        <v>308</v>
      </c>
      <c r="H799" s="42" t="n">
        <f aca="false">F799*G799</f>
        <v>616</v>
      </c>
      <c r="I799" s="39" t="s">
        <v>36</v>
      </c>
      <c r="J799" s="39" t="s">
        <v>47</v>
      </c>
      <c r="K799" s="39"/>
    </row>
    <row r="800" customFormat="false" ht="15" hidden="false" customHeight="false" outlineLevel="0" collapsed="false">
      <c r="A800" s="39" t="s">
        <v>910</v>
      </c>
      <c r="B800" s="40" t="n">
        <v>46266</v>
      </c>
      <c r="C800" s="39" t="s">
        <v>48</v>
      </c>
      <c r="D800" s="39" t="s">
        <v>35</v>
      </c>
      <c r="E800" s="39" t="s">
        <v>125</v>
      </c>
      <c r="F800" s="39" t="n">
        <v>1</v>
      </c>
      <c r="G800" s="41" t="n">
        <v>758</v>
      </c>
      <c r="H800" s="42" t="n">
        <f aca="false">F800*G800</f>
        <v>758</v>
      </c>
      <c r="I800" s="39" t="s">
        <v>34</v>
      </c>
      <c r="J800" s="39" t="s">
        <v>42</v>
      </c>
      <c r="K800" s="39" t="n">
        <v>4</v>
      </c>
    </row>
    <row r="801" customFormat="false" ht="15" hidden="false" customHeight="false" outlineLevel="0" collapsed="false">
      <c r="A801" s="39" t="s">
        <v>911</v>
      </c>
      <c r="B801" s="40" t="n">
        <v>46267</v>
      </c>
      <c r="C801" s="39" t="s">
        <v>53</v>
      </c>
      <c r="D801" s="39" t="s">
        <v>35</v>
      </c>
      <c r="E801" s="39" t="s">
        <v>95</v>
      </c>
      <c r="F801" s="39" t="n">
        <v>1</v>
      </c>
      <c r="G801" s="41" t="n">
        <v>398</v>
      </c>
      <c r="H801" s="42" t="n">
        <f aca="false">F801*G801</f>
        <v>398</v>
      </c>
      <c r="I801" s="39" t="s">
        <v>34</v>
      </c>
      <c r="J801" s="39" t="s">
        <v>42</v>
      </c>
      <c r="K801" s="39" t="n">
        <v>3</v>
      </c>
    </row>
    <row r="802" customFormat="false" ht="15" hidden="false" customHeight="false" outlineLevel="0" collapsed="false">
      <c r="A802" s="39" t="s">
        <v>912</v>
      </c>
      <c r="B802" s="40" t="n">
        <v>46267</v>
      </c>
      <c r="C802" s="39" t="s">
        <v>49</v>
      </c>
      <c r="D802" s="39" t="s">
        <v>35</v>
      </c>
      <c r="E802" s="39" t="s">
        <v>159</v>
      </c>
      <c r="F802" s="39" t="n">
        <v>1</v>
      </c>
      <c r="G802" s="41" t="n">
        <v>558</v>
      </c>
      <c r="H802" s="42" t="n">
        <f aca="false">F802*G802</f>
        <v>558</v>
      </c>
      <c r="I802" s="39" t="s">
        <v>34</v>
      </c>
      <c r="J802" s="39" t="s">
        <v>43</v>
      </c>
      <c r="K802" s="39" t="n">
        <v>3</v>
      </c>
    </row>
    <row r="803" customFormat="false" ht="15" hidden="false" customHeight="false" outlineLevel="0" collapsed="false">
      <c r="A803" s="39" t="s">
        <v>913</v>
      </c>
      <c r="B803" s="40" t="n">
        <v>46267</v>
      </c>
      <c r="C803" s="39" t="s">
        <v>101</v>
      </c>
      <c r="D803" s="39" t="s">
        <v>38</v>
      </c>
      <c r="E803" s="39" t="s">
        <v>107</v>
      </c>
      <c r="F803" s="39" t="n">
        <v>1</v>
      </c>
      <c r="G803" s="41" t="n">
        <v>938</v>
      </c>
      <c r="H803" s="42" t="n">
        <f aca="false">F803*G803</f>
        <v>938</v>
      </c>
      <c r="I803" s="39" t="s">
        <v>34</v>
      </c>
      <c r="J803" s="39" t="s">
        <v>42</v>
      </c>
      <c r="K803" s="39" t="n">
        <v>5</v>
      </c>
    </row>
    <row r="804" customFormat="false" ht="15" hidden="false" customHeight="false" outlineLevel="0" collapsed="false">
      <c r="A804" s="39" t="s">
        <v>914</v>
      </c>
      <c r="B804" s="40" t="n">
        <v>46267</v>
      </c>
      <c r="C804" s="39" t="s">
        <v>48</v>
      </c>
      <c r="D804" s="39" t="s">
        <v>38</v>
      </c>
      <c r="E804" s="39" t="s">
        <v>107</v>
      </c>
      <c r="F804" s="39" t="n">
        <v>1</v>
      </c>
      <c r="G804" s="41" t="n">
        <v>368</v>
      </c>
      <c r="H804" s="42" t="n">
        <f aca="false">F804*G804</f>
        <v>368</v>
      </c>
      <c r="I804" s="39" t="s">
        <v>34</v>
      </c>
      <c r="J804" s="39" t="s">
        <v>42</v>
      </c>
      <c r="K804" s="39" t="n">
        <v>3</v>
      </c>
    </row>
    <row r="805" customFormat="false" ht="15" hidden="false" customHeight="false" outlineLevel="0" collapsed="false">
      <c r="A805" s="39" t="s">
        <v>915</v>
      </c>
      <c r="B805" s="40" t="n">
        <v>46267</v>
      </c>
      <c r="C805" s="39" t="s">
        <v>101</v>
      </c>
      <c r="D805" s="39" t="s">
        <v>33</v>
      </c>
      <c r="E805" s="39" t="s">
        <v>117</v>
      </c>
      <c r="F805" s="39" t="n">
        <v>1</v>
      </c>
      <c r="G805" s="41" t="n">
        <v>608</v>
      </c>
      <c r="H805" s="42" t="n">
        <f aca="false">F805*G805</f>
        <v>608</v>
      </c>
      <c r="I805" s="39" t="s">
        <v>34</v>
      </c>
      <c r="J805" s="39" t="s">
        <v>42</v>
      </c>
      <c r="K805" s="39" t="n">
        <v>4</v>
      </c>
    </row>
    <row r="806" customFormat="false" ht="15" hidden="false" customHeight="false" outlineLevel="0" collapsed="false">
      <c r="A806" s="39" t="s">
        <v>916</v>
      </c>
      <c r="B806" s="40" t="n">
        <v>46267</v>
      </c>
      <c r="C806" s="39" t="s">
        <v>52</v>
      </c>
      <c r="D806" s="39" t="s">
        <v>35</v>
      </c>
      <c r="E806" s="39" t="s">
        <v>125</v>
      </c>
      <c r="F806" s="39" t="n">
        <v>1</v>
      </c>
      <c r="G806" s="41" t="n">
        <v>278</v>
      </c>
      <c r="H806" s="42" t="n">
        <f aca="false">F806*G806</f>
        <v>278</v>
      </c>
      <c r="I806" s="39" t="s">
        <v>36</v>
      </c>
      <c r="J806" s="39" t="s">
        <v>47</v>
      </c>
      <c r="K806" s="39"/>
    </row>
    <row r="807" customFormat="false" ht="15" hidden="false" customHeight="false" outlineLevel="0" collapsed="false">
      <c r="A807" s="39" t="s">
        <v>917</v>
      </c>
      <c r="B807" s="40" t="n">
        <v>46267</v>
      </c>
      <c r="C807" s="39" t="s">
        <v>53</v>
      </c>
      <c r="D807" s="39" t="s">
        <v>33</v>
      </c>
      <c r="E807" s="39" t="s">
        <v>136</v>
      </c>
      <c r="F807" s="39" t="n">
        <v>2</v>
      </c>
      <c r="G807" s="41" t="n">
        <v>848</v>
      </c>
      <c r="H807" s="42" t="n">
        <f aca="false">F807*G807</f>
        <v>1696</v>
      </c>
      <c r="I807" s="39" t="s">
        <v>36</v>
      </c>
      <c r="J807" s="39" t="s">
        <v>42</v>
      </c>
      <c r="K807" s="39" t="n">
        <v>3</v>
      </c>
    </row>
    <row r="808" customFormat="false" ht="15" hidden="false" customHeight="false" outlineLevel="0" collapsed="false">
      <c r="A808" s="39" t="s">
        <v>918</v>
      </c>
      <c r="B808" s="40" t="n">
        <v>46267</v>
      </c>
      <c r="C808" s="39" t="s">
        <v>51</v>
      </c>
      <c r="D808" s="39" t="s">
        <v>33</v>
      </c>
      <c r="E808" s="39" t="s">
        <v>117</v>
      </c>
      <c r="F808" s="39" t="n">
        <v>1</v>
      </c>
      <c r="G808" s="41" t="n">
        <v>838</v>
      </c>
      <c r="H808" s="42" t="n">
        <f aca="false">F808*G808</f>
        <v>838</v>
      </c>
      <c r="I808" s="39" t="s">
        <v>34</v>
      </c>
      <c r="J808" s="39" t="s">
        <v>42</v>
      </c>
      <c r="K808" s="39" t="n">
        <v>3</v>
      </c>
    </row>
    <row r="809" customFormat="false" ht="15" hidden="false" customHeight="false" outlineLevel="0" collapsed="false">
      <c r="A809" s="39" t="s">
        <v>919</v>
      </c>
      <c r="B809" s="40" t="n">
        <v>46267</v>
      </c>
      <c r="C809" s="39" t="s">
        <v>49</v>
      </c>
      <c r="D809" s="39" t="s">
        <v>37</v>
      </c>
      <c r="E809" s="39" t="s">
        <v>97</v>
      </c>
      <c r="F809" s="39" t="n">
        <v>1</v>
      </c>
      <c r="G809" s="41" t="n">
        <v>348</v>
      </c>
      <c r="H809" s="42" t="n">
        <f aca="false">F809*G809</f>
        <v>348</v>
      </c>
      <c r="I809" s="39" t="s">
        <v>36</v>
      </c>
      <c r="J809" s="39" t="s">
        <v>42</v>
      </c>
      <c r="K809" s="39" t="n">
        <v>4</v>
      </c>
    </row>
    <row r="810" customFormat="false" ht="15" hidden="false" customHeight="false" outlineLevel="0" collapsed="false">
      <c r="A810" s="39" t="s">
        <v>920</v>
      </c>
      <c r="B810" s="40" t="n">
        <v>46267</v>
      </c>
      <c r="C810" s="39" t="s">
        <v>48</v>
      </c>
      <c r="D810" s="39" t="s">
        <v>35</v>
      </c>
      <c r="E810" s="39" t="s">
        <v>125</v>
      </c>
      <c r="F810" s="39" t="n">
        <v>3</v>
      </c>
      <c r="G810" s="41" t="n">
        <v>778</v>
      </c>
      <c r="H810" s="42" t="n">
        <f aca="false">F810*G810</f>
        <v>2334</v>
      </c>
      <c r="I810" s="39" t="s">
        <v>34</v>
      </c>
      <c r="J810" s="39" t="s">
        <v>42</v>
      </c>
      <c r="K810" s="39" t="n">
        <v>4</v>
      </c>
    </row>
    <row r="811" customFormat="false" ht="15" hidden="false" customHeight="false" outlineLevel="0" collapsed="false">
      <c r="A811" s="39" t="s">
        <v>921</v>
      </c>
      <c r="B811" s="40" t="n">
        <v>46268</v>
      </c>
      <c r="C811" s="39" t="s">
        <v>52</v>
      </c>
      <c r="D811" s="39" t="s">
        <v>35</v>
      </c>
      <c r="E811" s="39" t="s">
        <v>125</v>
      </c>
      <c r="F811" s="39" t="n">
        <v>1</v>
      </c>
      <c r="G811" s="41" t="n">
        <v>718</v>
      </c>
      <c r="H811" s="42" t="n">
        <f aca="false">F811*G811</f>
        <v>718</v>
      </c>
      <c r="I811" s="39" t="s">
        <v>36</v>
      </c>
      <c r="J811" s="39" t="s">
        <v>43</v>
      </c>
      <c r="K811" s="39" t="n">
        <v>5</v>
      </c>
    </row>
    <row r="812" customFormat="false" ht="15" hidden="false" customHeight="false" outlineLevel="0" collapsed="false">
      <c r="A812" s="39" t="s">
        <v>922</v>
      </c>
      <c r="B812" s="40" t="n">
        <v>46268</v>
      </c>
      <c r="C812" s="39" t="s">
        <v>53</v>
      </c>
      <c r="D812" s="39" t="s">
        <v>39</v>
      </c>
      <c r="E812" s="39" t="s">
        <v>105</v>
      </c>
      <c r="F812" s="39" t="n">
        <v>2</v>
      </c>
      <c r="G812" s="41" t="n">
        <v>438</v>
      </c>
      <c r="H812" s="42" t="n">
        <f aca="false">F812*G812</f>
        <v>876</v>
      </c>
      <c r="I812" s="39" t="s">
        <v>34</v>
      </c>
      <c r="J812" s="39" t="s">
        <v>42</v>
      </c>
      <c r="K812" s="39" t="n">
        <v>7</v>
      </c>
    </row>
    <row r="813" customFormat="false" ht="15" hidden="false" customHeight="false" outlineLevel="0" collapsed="false">
      <c r="A813" s="39" t="s">
        <v>923</v>
      </c>
      <c r="B813" s="40" t="n">
        <v>46268</v>
      </c>
      <c r="C813" s="39" t="s">
        <v>52</v>
      </c>
      <c r="D813" s="39" t="s">
        <v>33</v>
      </c>
      <c r="E813" s="39" t="s">
        <v>114</v>
      </c>
      <c r="F813" s="39" t="n">
        <v>2</v>
      </c>
      <c r="G813" s="41" t="n">
        <v>338</v>
      </c>
      <c r="H813" s="42" t="n">
        <f aca="false">F813*G813</f>
        <v>676</v>
      </c>
      <c r="I813" s="39" t="s">
        <v>34</v>
      </c>
      <c r="J813" s="39" t="s">
        <v>42</v>
      </c>
      <c r="K813" s="39" t="n">
        <v>5</v>
      </c>
    </row>
    <row r="814" customFormat="false" ht="15" hidden="false" customHeight="false" outlineLevel="0" collapsed="false">
      <c r="A814" s="39" t="s">
        <v>924</v>
      </c>
      <c r="B814" s="40" t="n">
        <v>46268</v>
      </c>
      <c r="C814" s="39" t="s">
        <v>49</v>
      </c>
      <c r="D814" s="39" t="s">
        <v>38</v>
      </c>
      <c r="E814" s="39" t="s">
        <v>121</v>
      </c>
      <c r="F814" s="39" t="n">
        <v>1</v>
      </c>
      <c r="G814" s="41" t="n">
        <v>668</v>
      </c>
      <c r="H814" s="42" t="n">
        <f aca="false">F814*G814</f>
        <v>668</v>
      </c>
      <c r="I814" s="39" t="s">
        <v>34</v>
      </c>
      <c r="J814" s="39" t="s">
        <v>42</v>
      </c>
      <c r="K814" s="39" t="n">
        <v>5</v>
      </c>
    </row>
    <row r="815" customFormat="false" ht="15" hidden="false" customHeight="false" outlineLevel="0" collapsed="false">
      <c r="A815" s="39" t="s">
        <v>925</v>
      </c>
      <c r="B815" s="40" t="n">
        <v>46268</v>
      </c>
      <c r="C815" s="39" t="s">
        <v>101</v>
      </c>
      <c r="D815" s="39" t="s">
        <v>37</v>
      </c>
      <c r="E815" s="39" t="s">
        <v>141</v>
      </c>
      <c r="F815" s="39" t="n">
        <v>2</v>
      </c>
      <c r="G815" s="41" t="n">
        <v>308</v>
      </c>
      <c r="H815" s="42" t="n">
        <f aca="false">F815*G815</f>
        <v>616</v>
      </c>
      <c r="I815" s="39" t="s">
        <v>34</v>
      </c>
      <c r="J815" s="39" t="s">
        <v>42</v>
      </c>
      <c r="K815" s="39" t="n">
        <v>4</v>
      </c>
    </row>
    <row r="816" customFormat="false" ht="15" hidden="false" customHeight="false" outlineLevel="0" collapsed="false">
      <c r="A816" s="39" t="s">
        <v>926</v>
      </c>
      <c r="B816" s="40" t="n">
        <v>46268</v>
      </c>
      <c r="C816" s="39" t="s">
        <v>53</v>
      </c>
      <c r="D816" s="39" t="s">
        <v>38</v>
      </c>
      <c r="E816" s="39" t="s">
        <v>110</v>
      </c>
      <c r="F816" s="39" t="n">
        <v>2</v>
      </c>
      <c r="G816" s="41" t="n">
        <v>648</v>
      </c>
      <c r="H816" s="42" t="n">
        <f aca="false">F816*G816</f>
        <v>1296</v>
      </c>
      <c r="I816" s="39" t="s">
        <v>36</v>
      </c>
      <c r="J816" s="39" t="s">
        <v>42</v>
      </c>
      <c r="K816" s="39" t="n">
        <v>4</v>
      </c>
    </row>
    <row r="817" customFormat="false" ht="15" hidden="false" customHeight="false" outlineLevel="0" collapsed="false">
      <c r="A817" s="39" t="s">
        <v>927</v>
      </c>
      <c r="B817" s="40" t="n">
        <v>46268</v>
      </c>
      <c r="C817" s="39" t="s">
        <v>49</v>
      </c>
      <c r="D817" s="39" t="s">
        <v>38</v>
      </c>
      <c r="E817" s="39" t="s">
        <v>107</v>
      </c>
      <c r="F817" s="39" t="n">
        <v>1</v>
      </c>
      <c r="G817" s="41" t="n">
        <v>958</v>
      </c>
      <c r="H817" s="42" t="n">
        <f aca="false">F817*G817</f>
        <v>958</v>
      </c>
      <c r="I817" s="39" t="s">
        <v>34</v>
      </c>
      <c r="J817" s="39" t="s">
        <v>42</v>
      </c>
      <c r="K817" s="39" t="n">
        <v>5</v>
      </c>
    </row>
    <row r="818" customFormat="false" ht="15" hidden="false" customHeight="false" outlineLevel="0" collapsed="false">
      <c r="A818" s="39" t="s">
        <v>928</v>
      </c>
      <c r="B818" s="40" t="n">
        <v>46268</v>
      </c>
      <c r="C818" s="39" t="s">
        <v>53</v>
      </c>
      <c r="D818" s="39" t="s">
        <v>33</v>
      </c>
      <c r="E818" s="39" t="s">
        <v>114</v>
      </c>
      <c r="F818" s="39" t="n">
        <v>1</v>
      </c>
      <c r="G818" s="41" t="n">
        <v>758</v>
      </c>
      <c r="H818" s="42" t="n">
        <f aca="false">F818*G818</f>
        <v>758</v>
      </c>
      <c r="I818" s="39" t="s">
        <v>36</v>
      </c>
      <c r="J818" s="39" t="s">
        <v>42</v>
      </c>
      <c r="K818" s="39" t="n">
        <v>2</v>
      </c>
    </row>
    <row r="819" customFormat="false" ht="15" hidden="false" customHeight="false" outlineLevel="0" collapsed="false">
      <c r="A819" s="39" t="s">
        <v>929</v>
      </c>
      <c r="B819" s="40" t="n">
        <v>46268</v>
      </c>
      <c r="C819" s="39" t="s">
        <v>52</v>
      </c>
      <c r="D819" s="39" t="s">
        <v>37</v>
      </c>
      <c r="E819" s="39" t="s">
        <v>141</v>
      </c>
      <c r="F819" s="39" t="n">
        <v>1</v>
      </c>
      <c r="G819" s="41" t="n">
        <v>638</v>
      </c>
      <c r="H819" s="42" t="n">
        <f aca="false">F819*G819</f>
        <v>638</v>
      </c>
      <c r="I819" s="39" t="s">
        <v>34</v>
      </c>
      <c r="J819" s="39" t="s">
        <v>42</v>
      </c>
      <c r="K819" s="39" t="n">
        <v>4</v>
      </c>
    </row>
    <row r="820" customFormat="false" ht="15" hidden="false" customHeight="false" outlineLevel="0" collapsed="false">
      <c r="A820" s="39" t="s">
        <v>930</v>
      </c>
      <c r="B820" s="40" t="n">
        <v>46268</v>
      </c>
      <c r="C820" s="39" t="s">
        <v>50</v>
      </c>
      <c r="D820" s="39" t="s">
        <v>35</v>
      </c>
      <c r="E820" s="39" t="s">
        <v>95</v>
      </c>
      <c r="F820" s="39" t="n">
        <v>1</v>
      </c>
      <c r="G820" s="41" t="n">
        <v>758</v>
      </c>
      <c r="H820" s="42" t="n">
        <f aca="false">F820*G820</f>
        <v>758</v>
      </c>
      <c r="I820" s="39" t="s">
        <v>34</v>
      </c>
      <c r="J820" s="39" t="s">
        <v>42</v>
      </c>
      <c r="K820" s="39" t="n">
        <v>3</v>
      </c>
    </row>
    <row r="821" customFormat="false" ht="15" hidden="false" customHeight="false" outlineLevel="0" collapsed="false">
      <c r="A821" s="39" t="s">
        <v>931</v>
      </c>
      <c r="B821" s="40" t="n">
        <v>46268</v>
      </c>
      <c r="C821" s="39" t="s">
        <v>51</v>
      </c>
      <c r="D821" s="39" t="s">
        <v>39</v>
      </c>
      <c r="E821" s="39" t="s">
        <v>99</v>
      </c>
      <c r="F821" s="39" t="n">
        <v>1</v>
      </c>
      <c r="G821" s="41" t="n">
        <v>798</v>
      </c>
      <c r="H821" s="42" t="n">
        <f aca="false">F821*G821</f>
        <v>798</v>
      </c>
      <c r="I821" s="39" t="s">
        <v>36</v>
      </c>
      <c r="J821" s="39" t="s">
        <v>42</v>
      </c>
      <c r="K821" s="39" t="n">
        <v>2</v>
      </c>
    </row>
    <row r="822" customFormat="false" ht="15" hidden="false" customHeight="false" outlineLevel="0" collapsed="false">
      <c r="A822" s="39" t="s">
        <v>932</v>
      </c>
      <c r="B822" s="40" t="n">
        <v>46268</v>
      </c>
      <c r="C822" s="39" t="s">
        <v>49</v>
      </c>
      <c r="D822" s="39" t="s">
        <v>33</v>
      </c>
      <c r="E822" s="39" t="s">
        <v>102</v>
      </c>
      <c r="F822" s="39" t="n">
        <v>1</v>
      </c>
      <c r="G822" s="41" t="n">
        <v>348</v>
      </c>
      <c r="H822" s="42" t="n">
        <f aca="false">F822*G822</f>
        <v>348</v>
      </c>
      <c r="I822" s="39" t="s">
        <v>36</v>
      </c>
      <c r="J822" s="39" t="s">
        <v>42</v>
      </c>
      <c r="K822" s="39" t="n">
        <v>3</v>
      </c>
    </row>
    <row r="823" customFormat="false" ht="15" hidden="false" customHeight="false" outlineLevel="0" collapsed="false">
      <c r="A823" s="39" t="s">
        <v>933</v>
      </c>
      <c r="B823" s="40" t="n">
        <v>46268</v>
      </c>
      <c r="C823" s="39" t="s">
        <v>109</v>
      </c>
      <c r="D823" s="39" t="s">
        <v>33</v>
      </c>
      <c r="E823" s="39" t="s">
        <v>102</v>
      </c>
      <c r="F823" s="39" t="n">
        <v>3</v>
      </c>
      <c r="G823" s="41" t="n">
        <v>658</v>
      </c>
      <c r="H823" s="42" t="n">
        <f aca="false">F823*G823</f>
        <v>1974</v>
      </c>
      <c r="I823" s="39" t="s">
        <v>36</v>
      </c>
      <c r="J823" s="39" t="s">
        <v>42</v>
      </c>
      <c r="K823" s="39" t="n">
        <v>2</v>
      </c>
    </row>
    <row r="824" customFormat="false" ht="15" hidden="false" customHeight="false" outlineLevel="0" collapsed="false">
      <c r="A824" s="39" t="s">
        <v>934</v>
      </c>
      <c r="B824" s="40" t="n">
        <v>46268</v>
      </c>
      <c r="C824" s="39" t="s">
        <v>49</v>
      </c>
      <c r="D824" s="39" t="s">
        <v>33</v>
      </c>
      <c r="E824" s="39" t="s">
        <v>117</v>
      </c>
      <c r="F824" s="39" t="n">
        <v>2</v>
      </c>
      <c r="G824" s="41" t="n">
        <v>658</v>
      </c>
      <c r="H824" s="42" t="n">
        <f aca="false">F824*G824</f>
        <v>1316</v>
      </c>
      <c r="I824" s="39" t="s">
        <v>36</v>
      </c>
      <c r="J824" s="39" t="s">
        <v>42</v>
      </c>
      <c r="K824" s="39" t="n">
        <v>2</v>
      </c>
    </row>
    <row r="825" customFormat="false" ht="15" hidden="false" customHeight="false" outlineLevel="0" collapsed="false">
      <c r="A825" s="39" t="s">
        <v>935</v>
      </c>
      <c r="B825" s="40" t="n">
        <v>46269</v>
      </c>
      <c r="C825" s="39" t="s">
        <v>51</v>
      </c>
      <c r="D825" s="39" t="s">
        <v>38</v>
      </c>
      <c r="E825" s="39" t="s">
        <v>107</v>
      </c>
      <c r="F825" s="39" t="n">
        <v>1</v>
      </c>
      <c r="G825" s="41" t="n">
        <v>828</v>
      </c>
      <c r="H825" s="42" t="n">
        <f aca="false">F825*G825</f>
        <v>828</v>
      </c>
      <c r="I825" s="39" t="s">
        <v>36</v>
      </c>
      <c r="J825" s="39" t="s">
        <v>47</v>
      </c>
      <c r="K825" s="39"/>
    </row>
    <row r="826" customFormat="false" ht="15" hidden="false" customHeight="false" outlineLevel="0" collapsed="false">
      <c r="A826" s="39" t="s">
        <v>936</v>
      </c>
      <c r="B826" s="40" t="n">
        <v>46269</v>
      </c>
      <c r="C826" s="39" t="s">
        <v>53</v>
      </c>
      <c r="D826" s="39" t="s">
        <v>37</v>
      </c>
      <c r="E826" s="39" t="s">
        <v>97</v>
      </c>
      <c r="F826" s="39" t="n">
        <v>1</v>
      </c>
      <c r="G826" s="41" t="n">
        <v>638</v>
      </c>
      <c r="H826" s="42" t="n">
        <f aca="false">F826*G826</f>
        <v>638</v>
      </c>
      <c r="I826" s="39" t="s">
        <v>36</v>
      </c>
      <c r="J826" s="39" t="s">
        <v>42</v>
      </c>
      <c r="K826" s="39" t="n">
        <v>3</v>
      </c>
    </row>
    <row r="827" customFormat="false" ht="15" hidden="false" customHeight="false" outlineLevel="0" collapsed="false">
      <c r="A827" s="39" t="s">
        <v>937</v>
      </c>
      <c r="B827" s="40" t="n">
        <v>46269</v>
      </c>
      <c r="C827" s="39" t="s">
        <v>49</v>
      </c>
      <c r="D827" s="39" t="s">
        <v>35</v>
      </c>
      <c r="E827" s="39" t="s">
        <v>159</v>
      </c>
      <c r="F827" s="39" t="n">
        <v>2</v>
      </c>
      <c r="G827" s="41" t="n">
        <v>638</v>
      </c>
      <c r="H827" s="42" t="n">
        <f aca="false">F827*G827</f>
        <v>1276</v>
      </c>
      <c r="I827" s="39" t="s">
        <v>34</v>
      </c>
      <c r="J827" s="39" t="s">
        <v>42</v>
      </c>
      <c r="K827" s="39" t="n">
        <v>2</v>
      </c>
    </row>
    <row r="828" customFormat="false" ht="15" hidden="false" customHeight="false" outlineLevel="0" collapsed="false">
      <c r="A828" s="39" t="s">
        <v>938</v>
      </c>
      <c r="B828" s="40" t="n">
        <v>46269</v>
      </c>
      <c r="C828" s="39" t="s">
        <v>48</v>
      </c>
      <c r="D828" s="39" t="s">
        <v>37</v>
      </c>
      <c r="E828" s="39" t="s">
        <v>131</v>
      </c>
      <c r="F828" s="39" t="n">
        <v>2</v>
      </c>
      <c r="G828" s="41" t="n">
        <v>428</v>
      </c>
      <c r="H828" s="42" t="n">
        <f aca="false">F828*G828</f>
        <v>856</v>
      </c>
      <c r="I828" s="39" t="s">
        <v>34</v>
      </c>
      <c r="J828" s="39" t="s">
        <v>42</v>
      </c>
      <c r="K828" s="39" t="n">
        <v>4</v>
      </c>
    </row>
    <row r="829" customFormat="false" ht="15" hidden="false" customHeight="false" outlineLevel="0" collapsed="false">
      <c r="A829" s="39" t="s">
        <v>939</v>
      </c>
      <c r="B829" s="40" t="n">
        <v>46269</v>
      </c>
      <c r="C829" s="39" t="s">
        <v>48</v>
      </c>
      <c r="D829" s="39" t="s">
        <v>33</v>
      </c>
      <c r="E829" s="39" t="s">
        <v>102</v>
      </c>
      <c r="F829" s="39" t="n">
        <v>1</v>
      </c>
      <c r="G829" s="41" t="n">
        <v>518</v>
      </c>
      <c r="H829" s="42" t="n">
        <f aca="false">F829*G829</f>
        <v>518</v>
      </c>
      <c r="I829" s="39" t="s">
        <v>34</v>
      </c>
      <c r="J829" s="39" t="s">
        <v>42</v>
      </c>
      <c r="K829" s="39" t="n">
        <v>4</v>
      </c>
    </row>
    <row r="830" customFormat="false" ht="15" hidden="false" customHeight="false" outlineLevel="0" collapsed="false">
      <c r="A830" s="39" t="s">
        <v>940</v>
      </c>
      <c r="B830" s="40" t="n">
        <v>46269</v>
      </c>
      <c r="C830" s="39" t="s">
        <v>53</v>
      </c>
      <c r="D830" s="39" t="s">
        <v>38</v>
      </c>
      <c r="E830" s="39" t="s">
        <v>107</v>
      </c>
      <c r="F830" s="39" t="n">
        <v>2</v>
      </c>
      <c r="G830" s="41" t="n">
        <v>958</v>
      </c>
      <c r="H830" s="42" t="n">
        <f aca="false">F830*G830</f>
        <v>1916</v>
      </c>
      <c r="I830" s="39" t="s">
        <v>36</v>
      </c>
      <c r="J830" s="39" t="s">
        <v>42</v>
      </c>
      <c r="K830" s="39" t="n">
        <v>2</v>
      </c>
    </row>
    <row r="831" customFormat="false" ht="15" hidden="false" customHeight="false" outlineLevel="0" collapsed="false">
      <c r="A831" s="39" t="s">
        <v>941</v>
      </c>
      <c r="B831" s="40" t="n">
        <v>46269</v>
      </c>
      <c r="C831" s="39" t="s">
        <v>48</v>
      </c>
      <c r="D831" s="39" t="s">
        <v>38</v>
      </c>
      <c r="E831" s="39" t="s">
        <v>110</v>
      </c>
      <c r="F831" s="39" t="n">
        <v>1</v>
      </c>
      <c r="G831" s="41" t="n">
        <v>958</v>
      </c>
      <c r="H831" s="42" t="n">
        <f aca="false">F831*G831</f>
        <v>958</v>
      </c>
      <c r="I831" s="39" t="s">
        <v>34</v>
      </c>
      <c r="J831" s="39" t="s">
        <v>42</v>
      </c>
      <c r="K831" s="39" t="n">
        <v>6</v>
      </c>
    </row>
    <row r="832" customFormat="false" ht="15" hidden="false" customHeight="false" outlineLevel="0" collapsed="false">
      <c r="A832" s="39" t="s">
        <v>942</v>
      </c>
      <c r="B832" s="40" t="n">
        <v>46269</v>
      </c>
      <c r="C832" s="39" t="s">
        <v>101</v>
      </c>
      <c r="D832" s="39" t="s">
        <v>38</v>
      </c>
      <c r="E832" s="39" t="s">
        <v>110</v>
      </c>
      <c r="F832" s="39" t="n">
        <v>3</v>
      </c>
      <c r="G832" s="41" t="n">
        <v>408</v>
      </c>
      <c r="H832" s="42" t="n">
        <f aca="false">F832*G832</f>
        <v>1224</v>
      </c>
      <c r="I832" s="39" t="s">
        <v>36</v>
      </c>
      <c r="J832" s="39" t="s">
        <v>43</v>
      </c>
      <c r="K832" s="39" t="n">
        <v>5</v>
      </c>
    </row>
    <row r="833" customFormat="false" ht="15" hidden="false" customHeight="false" outlineLevel="0" collapsed="false">
      <c r="A833" s="39" t="s">
        <v>943</v>
      </c>
      <c r="B833" s="40" t="n">
        <v>46269</v>
      </c>
      <c r="C833" s="39" t="s">
        <v>50</v>
      </c>
      <c r="D833" s="39" t="s">
        <v>33</v>
      </c>
      <c r="E833" s="39" t="s">
        <v>114</v>
      </c>
      <c r="F833" s="39" t="n">
        <v>2</v>
      </c>
      <c r="G833" s="41" t="n">
        <v>408</v>
      </c>
      <c r="H833" s="42" t="n">
        <f aca="false">F833*G833</f>
        <v>816</v>
      </c>
      <c r="I833" s="39" t="s">
        <v>36</v>
      </c>
      <c r="J833" s="39" t="s">
        <v>45</v>
      </c>
      <c r="K833" s="39"/>
    </row>
    <row r="834" customFormat="false" ht="15" hidden="false" customHeight="false" outlineLevel="0" collapsed="false">
      <c r="A834" s="39" t="s">
        <v>944</v>
      </c>
      <c r="B834" s="40" t="n">
        <v>46269</v>
      </c>
      <c r="C834" s="39" t="s">
        <v>50</v>
      </c>
      <c r="D834" s="39" t="s">
        <v>33</v>
      </c>
      <c r="E834" s="39" t="s">
        <v>136</v>
      </c>
      <c r="F834" s="39" t="n">
        <v>3</v>
      </c>
      <c r="G834" s="41" t="n">
        <v>718</v>
      </c>
      <c r="H834" s="42" t="n">
        <f aca="false">F834*G834</f>
        <v>2154</v>
      </c>
      <c r="I834" s="39" t="s">
        <v>36</v>
      </c>
      <c r="J834" s="39" t="s">
        <v>42</v>
      </c>
      <c r="K834" s="39" t="n">
        <v>5</v>
      </c>
    </row>
    <row r="835" customFormat="false" ht="15" hidden="false" customHeight="false" outlineLevel="0" collapsed="false">
      <c r="A835" s="39" t="s">
        <v>945</v>
      </c>
      <c r="B835" s="40" t="n">
        <v>46269</v>
      </c>
      <c r="C835" s="39" t="s">
        <v>48</v>
      </c>
      <c r="D835" s="39" t="s">
        <v>39</v>
      </c>
      <c r="E835" s="39" t="s">
        <v>99</v>
      </c>
      <c r="F835" s="39" t="n">
        <v>1</v>
      </c>
      <c r="G835" s="41" t="n">
        <v>1058</v>
      </c>
      <c r="H835" s="42" t="n">
        <f aca="false">F835*G835</f>
        <v>1058</v>
      </c>
      <c r="I835" s="39" t="s">
        <v>34</v>
      </c>
      <c r="J835" s="39" t="s">
        <v>42</v>
      </c>
      <c r="K835" s="39" t="n">
        <v>3</v>
      </c>
    </row>
    <row r="836" customFormat="false" ht="15" hidden="false" customHeight="false" outlineLevel="0" collapsed="false">
      <c r="A836" s="39" t="s">
        <v>946</v>
      </c>
      <c r="B836" s="40" t="n">
        <v>46270</v>
      </c>
      <c r="C836" s="39" t="s">
        <v>52</v>
      </c>
      <c r="D836" s="39" t="s">
        <v>37</v>
      </c>
      <c r="E836" s="39" t="s">
        <v>97</v>
      </c>
      <c r="F836" s="39" t="n">
        <v>2</v>
      </c>
      <c r="G836" s="41" t="n">
        <v>228</v>
      </c>
      <c r="H836" s="42" t="n">
        <f aca="false">F836*G836</f>
        <v>456</v>
      </c>
      <c r="I836" s="39" t="s">
        <v>36</v>
      </c>
      <c r="J836" s="39" t="s">
        <v>42</v>
      </c>
      <c r="K836" s="39" t="n">
        <v>5</v>
      </c>
    </row>
    <row r="837" customFormat="false" ht="15" hidden="false" customHeight="false" outlineLevel="0" collapsed="false">
      <c r="A837" s="39" t="s">
        <v>947</v>
      </c>
      <c r="B837" s="40" t="n">
        <v>46270</v>
      </c>
      <c r="C837" s="39" t="s">
        <v>109</v>
      </c>
      <c r="D837" s="39" t="s">
        <v>39</v>
      </c>
      <c r="E837" s="39" t="s">
        <v>105</v>
      </c>
      <c r="F837" s="39" t="n">
        <v>1</v>
      </c>
      <c r="G837" s="41" t="n">
        <v>638</v>
      </c>
      <c r="H837" s="42" t="n">
        <f aca="false">F837*G837</f>
        <v>638</v>
      </c>
      <c r="I837" s="39" t="s">
        <v>36</v>
      </c>
      <c r="J837" s="39" t="s">
        <v>47</v>
      </c>
      <c r="K837" s="39"/>
    </row>
    <row r="838" customFormat="false" ht="15" hidden="false" customHeight="false" outlineLevel="0" collapsed="false">
      <c r="A838" s="39" t="s">
        <v>948</v>
      </c>
      <c r="B838" s="40" t="n">
        <v>46270</v>
      </c>
      <c r="C838" s="39" t="s">
        <v>49</v>
      </c>
      <c r="D838" s="39" t="s">
        <v>38</v>
      </c>
      <c r="E838" s="39" t="s">
        <v>121</v>
      </c>
      <c r="F838" s="39" t="n">
        <v>2</v>
      </c>
      <c r="G838" s="41" t="n">
        <v>968</v>
      </c>
      <c r="H838" s="42" t="n">
        <f aca="false">F838*G838</f>
        <v>1936</v>
      </c>
      <c r="I838" s="39" t="s">
        <v>34</v>
      </c>
      <c r="J838" s="39" t="s">
        <v>42</v>
      </c>
      <c r="K838" s="39" t="n">
        <v>6</v>
      </c>
    </row>
    <row r="839" customFormat="false" ht="15" hidden="false" customHeight="false" outlineLevel="0" collapsed="false">
      <c r="A839" s="39" t="s">
        <v>949</v>
      </c>
      <c r="B839" s="40" t="n">
        <v>46270</v>
      </c>
      <c r="C839" s="39" t="s">
        <v>49</v>
      </c>
      <c r="D839" s="39" t="s">
        <v>33</v>
      </c>
      <c r="E839" s="39" t="s">
        <v>102</v>
      </c>
      <c r="F839" s="39" t="n">
        <v>1</v>
      </c>
      <c r="G839" s="41" t="n">
        <v>328</v>
      </c>
      <c r="H839" s="42" t="n">
        <f aca="false">F839*G839</f>
        <v>328</v>
      </c>
      <c r="I839" s="39" t="s">
        <v>34</v>
      </c>
      <c r="J839" s="39" t="s">
        <v>42</v>
      </c>
      <c r="K839" s="39" t="n">
        <v>3</v>
      </c>
    </row>
    <row r="840" customFormat="false" ht="15" hidden="false" customHeight="false" outlineLevel="0" collapsed="false">
      <c r="A840" s="39" t="s">
        <v>950</v>
      </c>
      <c r="B840" s="40" t="n">
        <v>46270</v>
      </c>
      <c r="C840" s="39" t="s">
        <v>51</v>
      </c>
      <c r="D840" s="39" t="s">
        <v>35</v>
      </c>
      <c r="E840" s="39" t="s">
        <v>159</v>
      </c>
      <c r="F840" s="39" t="n">
        <v>1</v>
      </c>
      <c r="G840" s="41" t="n">
        <v>728</v>
      </c>
      <c r="H840" s="42" t="n">
        <f aca="false">F840*G840</f>
        <v>728</v>
      </c>
      <c r="I840" s="39" t="s">
        <v>36</v>
      </c>
      <c r="J840" s="39" t="s">
        <v>42</v>
      </c>
      <c r="K840" s="39" t="n">
        <v>3</v>
      </c>
    </row>
    <row r="841" customFormat="false" ht="15" hidden="false" customHeight="false" outlineLevel="0" collapsed="false">
      <c r="A841" s="39" t="s">
        <v>951</v>
      </c>
      <c r="B841" s="40" t="n">
        <v>46270</v>
      </c>
      <c r="C841" s="39" t="s">
        <v>109</v>
      </c>
      <c r="D841" s="39" t="s">
        <v>37</v>
      </c>
      <c r="E841" s="39" t="s">
        <v>141</v>
      </c>
      <c r="F841" s="39" t="n">
        <v>1</v>
      </c>
      <c r="G841" s="41" t="n">
        <v>628</v>
      </c>
      <c r="H841" s="42" t="n">
        <f aca="false">F841*G841</f>
        <v>628</v>
      </c>
      <c r="I841" s="39" t="s">
        <v>34</v>
      </c>
      <c r="J841" s="39" t="s">
        <v>43</v>
      </c>
      <c r="K841" s="39" t="n">
        <v>6</v>
      </c>
    </row>
    <row r="842" customFormat="false" ht="15" hidden="false" customHeight="false" outlineLevel="0" collapsed="false">
      <c r="A842" s="39" t="s">
        <v>952</v>
      </c>
      <c r="B842" s="40" t="n">
        <v>46270</v>
      </c>
      <c r="C842" s="39" t="s">
        <v>48</v>
      </c>
      <c r="D842" s="39" t="s">
        <v>35</v>
      </c>
      <c r="E842" s="39" t="s">
        <v>125</v>
      </c>
      <c r="F842" s="39" t="n">
        <v>1</v>
      </c>
      <c r="G842" s="41" t="n">
        <v>778</v>
      </c>
      <c r="H842" s="42" t="n">
        <f aca="false">F842*G842</f>
        <v>778</v>
      </c>
      <c r="I842" s="39" t="s">
        <v>34</v>
      </c>
      <c r="J842" s="39" t="s">
        <v>42</v>
      </c>
      <c r="K842" s="39" t="n">
        <v>4</v>
      </c>
    </row>
    <row r="843" customFormat="false" ht="15" hidden="false" customHeight="false" outlineLevel="0" collapsed="false">
      <c r="A843" s="39" t="s">
        <v>953</v>
      </c>
      <c r="B843" s="40" t="n">
        <v>46270</v>
      </c>
      <c r="C843" s="39" t="s">
        <v>101</v>
      </c>
      <c r="D843" s="39" t="s">
        <v>35</v>
      </c>
      <c r="E843" s="39" t="s">
        <v>95</v>
      </c>
      <c r="F843" s="39" t="n">
        <v>3</v>
      </c>
      <c r="G843" s="41" t="n">
        <v>498</v>
      </c>
      <c r="H843" s="42" t="n">
        <f aca="false">F843*G843</f>
        <v>1494</v>
      </c>
      <c r="I843" s="39" t="s">
        <v>34</v>
      </c>
      <c r="J843" s="39" t="s">
        <v>42</v>
      </c>
      <c r="K843" s="39" t="n">
        <v>4</v>
      </c>
    </row>
    <row r="844" customFormat="false" ht="15" hidden="false" customHeight="false" outlineLevel="0" collapsed="false">
      <c r="A844" s="39" t="s">
        <v>954</v>
      </c>
      <c r="B844" s="40" t="n">
        <v>46270</v>
      </c>
      <c r="C844" s="39" t="s">
        <v>49</v>
      </c>
      <c r="D844" s="39" t="s">
        <v>39</v>
      </c>
      <c r="E844" s="39" t="s">
        <v>129</v>
      </c>
      <c r="F844" s="39" t="n">
        <v>2</v>
      </c>
      <c r="G844" s="41" t="n">
        <v>578</v>
      </c>
      <c r="H844" s="42" t="n">
        <f aca="false">F844*G844</f>
        <v>1156</v>
      </c>
      <c r="I844" s="39" t="s">
        <v>36</v>
      </c>
      <c r="J844" s="39" t="s">
        <v>45</v>
      </c>
      <c r="K844" s="39"/>
    </row>
    <row r="845" customFormat="false" ht="15" hidden="false" customHeight="false" outlineLevel="0" collapsed="false">
      <c r="A845" s="39" t="s">
        <v>955</v>
      </c>
      <c r="B845" s="40" t="n">
        <v>46270</v>
      </c>
      <c r="C845" s="39" t="s">
        <v>50</v>
      </c>
      <c r="D845" s="39" t="s">
        <v>35</v>
      </c>
      <c r="E845" s="39" t="s">
        <v>125</v>
      </c>
      <c r="F845" s="39" t="n">
        <v>3</v>
      </c>
      <c r="G845" s="41" t="n">
        <v>378</v>
      </c>
      <c r="H845" s="42" t="n">
        <f aca="false">F845*G845</f>
        <v>1134</v>
      </c>
      <c r="I845" s="39" t="s">
        <v>34</v>
      </c>
      <c r="J845" s="39" t="s">
        <v>42</v>
      </c>
      <c r="K845" s="39" t="n">
        <v>5</v>
      </c>
    </row>
    <row r="846" customFormat="false" ht="15" hidden="false" customHeight="false" outlineLevel="0" collapsed="false">
      <c r="A846" s="39" t="s">
        <v>956</v>
      </c>
      <c r="B846" s="40" t="n">
        <v>46270</v>
      </c>
      <c r="C846" s="39" t="s">
        <v>109</v>
      </c>
      <c r="D846" s="39" t="s">
        <v>33</v>
      </c>
      <c r="E846" s="39" t="s">
        <v>114</v>
      </c>
      <c r="F846" s="39" t="n">
        <v>3</v>
      </c>
      <c r="G846" s="41" t="n">
        <v>518</v>
      </c>
      <c r="H846" s="42" t="n">
        <f aca="false">F846*G846</f>
        <v>1554</v>
      </c>
      <c r="I846" s="39" t="s">
        <v>36</v>
      </c>
      <c r="J846" s="39" t="s">
        <v>43</v>
      </c>
      <c r="K846" s="39" t="n">
        <v>2</v>
      </c>
    </row>
    <row r="847" customFormat="false" ht="15" hidden="false" customHeight="false" outlineLevel="0" collapsed="false">
      <c r="A847" s="39" t="s">
        <v>957</v>
      </c>
      <c r="B847" s="40" t="n">
        <v>46270</v>
      </c>
      <c r="C847" s="39" t="s">
        <v>109</v>
      </c>
      <c r="D847" s="39" t="s">
        <v>33</v>
      </c>
      <c r="E847" s="39" t="s">
        <v>117</v>
      </c>
      <c r="F847" s="39" t="n">
        <v>2</v>
      </c>
      <c r="G847" s="41" t="n">
        <v>768</v>
      </c>
      <c r="H847" s="42" t="n">
        <f aca="false">F847*G847</f>
        <v>1536</v>
      </c>
      <c r="I847" s="39" t="s">
        <v>36</v>
      </c>
      <c r="J847" s="39" t="s">
        <v>47</v>
      </c>
      <c r="K847" s="39"/>
    </row>
    <row r="848" customFormat="false" ht="15" hidden="false" customHeight="false" outlineLevel="0" collapsed="false">
      <c r="A848" s="39" t="s">
        <v>958</v>
      </c>
      <c r="B848" s="40" t="n">
        <v>46270</v>
      </c>
      <c r="C848" s="39" t="s">
        <v>53</v>
      </c>
      <c r="D848" s="39" t="s">
        <v>33</v>
      </c>
      <c r="E848" s="39" t="s">
        <v>136</v>
      </c>
      <c r="F848" s="39" t="n">
        <v>3</v>
      </c>
      <c r="G848" s="41" t="n">
        <v>448</v>
      </c>
      <c r="H848" s="42" t="n">
        <f aca="false">F848*G848</f>
        <v>1344</v>
      </c>
      <c r="I848" s="39" t="s">
        <v>36</v>
      </c>
      <c r="J848" s="39" t="s">
        <v>42</v>
      </c>
      <c r="K848" s="39" t="n">
        <v>3</v>
      </c>
    </row>
    <row r="849" customFormat="false" ht="15" hidden="false" customHeight="false" outlineLevel="0" collapsed="false">
      <c r="A849" s="39" t="s">
        <v>959</v>
      </c>
      <c r="B849" s="40" t="n">
        <v>46270</v>
      </c>
      <c r="C849" s="39" t="s">
        <v>48</v>
      </c>
      <c r="D849" s="39" t="s">
        <v>33</v>
      </c>
      <c r="E849" s="39" t="s">
        <v>102</v>
      </c>
      <c r="F849" s="39" t="n">
        <v>2</v>
      </c>
      <c r="G849" s="41" t="n">
        <v>568</v>
      </c>
      <c r="H849" s="42" t="n">
        <f aca="false">F849*G849</f>
        <v>1136</v>
      </c>
      <c r="I849" s="39" t="s">
        <v>34</v>
      </c>
      <c r="J849" s="39" t="s">
        <v>42</v>
      </c>
      <c r="K849" s="39" t="n">
        <v>3</v>
      </c>
    </row>
    <row r="850" customFormat="false" ht="15" hidden="false" customHeight="false" outlineLevel="0" collapsed="false">
      <c r="A850" s="39" t="s">
        <v>960</v>
      </c>
      <c r="B850" s="40" t="n">
        <v>46270</v>
      </c>
      <c r="C850" s="39" t="s">
        <v>109</v>
      </c>
      <c r="D850" s="39" t="s">
        <v>33</v>
      </c>
      <c r="E850" s="39" t="s">
        <v>136</v>
      </c>
      <c r="F850" s="39" t="n">
        <v>1</v>
      </c>
      <c r="G850" s="41" t="n">
        <v>518</v>
      </c>
      <c r="H850" s="42" t="n">
        <f aca="false">F850*G850</f>
        <v>518</v>
      </c>
      <c r="I850" s="39" t="s">
        <v>34</v>
      </c>
      <c r="J850" s="39" t="s">
        <v>42</v>
      </c>
      <c r="K850" s="39" t="n">
        <v>4</v>
      </c>
    </row>
    <row r="851" customFormat="false" ht="15" hidden="false" customHeight="false" outlineLevel="0" collapsed="false">
      <c r="A851" s="39" t="s">
        <v>961</v>
      </c>
      <c r="B851" s="40" t="n">
        <v>46270</v>
      </c>
      <c r="C851" s="39" t="s">
        <v>51</v>
      </c>
      <c r="D851" s="39" t="s">
        <v>35</v>
      </c>
      <c r="E851" s="39" t="s">
        <v>159</v>
      </c>
      <c r="F851" s="39" t="n">
        <v>1</v>
      </c>
      <c r="G851" s="41" t="n">
        <v>438</v>
      </c>
      <c r="H851" s="42" t="n">
        <f aca="false">F851*G851</f>
        <v>438</v>
      </c>
      <c r="I851" s="39" t="s">
        <v>34</v>
      </c>
      <c r="J851" s="39" t="s">
        <v>42</v>
      </c>
      <c r="K851" s="39" t="n">
        <v>3</v>
      </c>
    </row>
    <row r="852" customFormat="false" ht="15" hidden="false" customHeight="false" outlineLevel="0" collapsed="false">
      <c r="A852" s="39" t="s">
        <v>962</v>
      </c>
      <c r="B852" s="40" t="n">
        <v>46270</v>
      </c>
      <c r="C852" s="39" t="s">
        <v>53</v>
      </c>
      <c r="D852" s="39" t="s">
        <v>35</v>
      </c>
      <c r="E852" s="39" t="s">
        <v>159</v>
      </c>
      <c r="F852" s="39" t="n">
        <v>2</v>
      </c>
      <c r="G852" s="41" t="n">
        <v>348</v>
      </c>
      <c r="H852" s="42" t="n">
        <f aca="false">F852*G852</f>
        <v>696</v>
      </c>
      <c r="I852" s="39" t="s">
        <v>36</v>
      </c>
      <c r="J852" s="39" t="s">
        <v>42</v>
      </c>
      <c r="K852" s="39" t="n">
        <v>5</v>
      </c>
    </row>
    <row r="853" customFormat="false" ht="15" hidden="false" customHeight="false" outlineLevel="0" collapsed="false">
      <c r="A853" s="39" t="s">
        <v>963</v>
      </c>
      <c r="B853" s="40" t="n">
        <v>46270</v>
      </c>
      <c r="C853" s="39" t="s">
        <v>53</v>
      </c>
      <c r="D853" s="39" t="s">
        <v>37</v>
      </c>
      <c r="E853" s="39" t="s">
        <v>97</v>
      </c>
      <c r="F853" s="39" t="n">
        <v>1</v>
      </c>
      <c r="G853" s="41" t="n">
        <v>498</v>
      </c>
      <c r="H853" s="42" t="n">
        <f aca="false">F853*G853</f>
        <v>498</v>
      </c>
      <c r="I853" s="39" t="s">
        <v>34</v>
      </c>
      <c r="J853" s="39" t="s">
        <v>42</v>
      </c>
      <c r="K853" s="39" t="n">
        <v>7</v>
      </c>
    </row>
    <row r="854" customFormat="false" ht="15" hidden="false" customHeight="false" outlineLevel="0" collapsed="false">
      <c r="A854" s="39" t="s">
        <v>964</v>
      </c>
      <c r="B854" s="40" t="n">
        <v>46271</v>
      </c>
      <c r="C854" s="39" t="s">
        <v>109</v>
      </c>
      <c r="D854" s="39" t="s">
        <v>39</v>
      </c>
      <c r="E854" s="39" t="s">
        <v>99</v>
      </c>
      <c r="F854" s="39" t="n">
        <v>1</v>
      </c>
      <c r="G854" s="41" t="n">
        <v>558</v>
      </c>
      <c r="H854" s="42" t="n">
        <f aca="false">F854*G854</f>
        <v>558</v>
      </c>
      <c r="I854" s="39" t="s">
        <v>36</v>
      </c>
      <c r="J854" s="39" t="s">
        <v>42</v>
      </c>
      <c r="K854" s="39" t="n">
        <v>6</v>
      </c>
    </row>
    <row r="855" customFormat="false" ht="15" hidden="false" customHeight="false" outlineLevel="0" collapsed="false">
      <c r="A855" s="39" t="s">
        <v>965</v>
      </c>
      <c r="B855" s="40" t="n">
        <v>46271</v>
      </c>
      <c r="C855" s="39" t="s">
        <v>53</v>
      </c>
      <c r="D855" s="39" t="s">
        <v>33</v>
      </c>
      <c r="E855" s="39" t="s">
        <v>114</v>
      </c>
      <c r="F855" s="39" t="n">
        <v>1</v>
      </c>
      <c r="G855" s="41" t="n">
        <v>518</v>
      </c>
      <c r="H855" s="42" t="n">
        <f aca="false">F855*G855</f>
        <v>518</v>
      </c>
      <c r="I855" s="39" t="s">
        <v>34</v>
      </c>
      <c r="J855" s="39" t="s">
        <v>42</v>
      </c>
      <c r="K855" s="39" t="n">
        <v>3</v>
      </c>
    </row>
    <row r="856" customFormat="false" ht="15" hidden="false" customHeight="false" outlineLevel="0" collapsed="false">
      <c r="A856" s="39" t="s">
        <v>966</v>
      </c>
      <c r="B856" s="40" t="n">
        <v>46271</v>
      </c>
      <c r="C856" s="39" t="s">
        <v>49</v>
      </c>
      <c r="D856" s="39" t="s">
        <v>38</v>
      </c>
      <c r="E856" s="39" t="s">
        <v>107</v>
      </c>
      <c r="F856" s="39" t="n">
        <v>1</v>
      </c>
      <c r="G856" s="41" t="n">
        <v>398</v>
      </c>
      <c r="H856" s="42" t="n">
        <f aca="false">F856*G856</f>
        <v>398</v>
      </c>
      <c r="I856" s="39" t="s">
        <v>36</v>
      </c>
      <c r="J856" s="39" t="s">
        <v>42</v>
      </c>
      <c r="K856" s="39" t="n">
        <v>4</v>
      </c>
    </row>
    <row r="857" customFormat="false" ht="15" hidden="false" customHeight="false" outlineLevel="0" collapsed="false">
      <c r="A857" s="39" t="s">
        <v>967</v>
      </c>
      <c r="B857" s="40" t="n">
        <v>46271</v>
      </c>
      <c r="C857" s="39" t="s">
        <v>52</v>
      </c>
      <c r="D857" s="39" t="s">
        <v>38</v>
      </c>
      <c r="E857" s="39" t="s">
        <v>121</v>
      </c>
      <c r="F857" s="39" t="n">
        <v>1</v>
      </c>
      <c r="G857" s="41" t="n">
        <v>558</v>
      </c>
      <c r="H857" s="42" t="n">
        <f aca="false">F857*G857</f>
        <v>558</v>
      </c>
      <c r="I857" s="39" t="s">
        <v>34</v>
      </c>
      <c r="J857" s="39" t="s">
        <v>42</v>
      </c>
      <c r="K857" s="39" t="n">
        <v>7</v>
      </c>
    </row>
    <row r="858" customFormat="false" ht="15" hidden="false" customHeight="false" outlineLevel="0" collapsed="false">
      <c r="A858" s="39" t="s">
        <v>968</v>
      </c>
      <c r="B858" s="40" t="n">
        <v>46271</v>
      </c>
      <c r="C858" s="39" t="s">
        <v>52</v>
      </c>
      <c r="D858" s="39" t="s">
        <v>35</v>
      </c>
      <c r="E858" s="39" t="s">
        <v>159</v>
      </c>
      <c r="F858" s="39" t="n">
        <v>1</v>
      </c>
      <c r="G858" s="41" t="n">
        <v>728</v>
      </c>
      <c r="H858" s="42" t="n">
        <f aca="false">F858*G858</f>
        <v>728</v>
      </c>
      <c r="I858" s="39" t="s">
        <v>34</v>
      </c>
      <c r="J858" s="39" t="s">
        <v>42</v>
      </c>
      <c r="K858" s="39" t="n">
        <v>4</v>
      </c>
    </row>
    <row r="859" customFormat="false" ht="15" hidden="false" customHeight="false" outlineLevel="0" collapsed="false">
      <c r="A859" s="39" t="s">
        <v>969</v>
      </c>
      <c r="B859" s="40" t="n">
        <v>46271</v>
      </c>
      <c r="C859" s="39" t="s">
        <v>51</v>
      </c>
      <c r="D859" s="39" t="s">
        <v>33</v>
      </c>
      <c r="E859" s="39" t="s">
        <v>117</v>
      </c>
      <c r="F859" s="39" t="n">
        <v>3</v>
      </c>
      <c r="G859" s="41" t="n">
        <v>728</v>
      </c>
      <c r="H859" s="42" t="n">
        <f aca="false">F859*G859</f>
        <v>2184</v>
      </c>
      <c r="I859" s="39" t="s">
        <v>36</v>
      </c>
      <c r="J859" s="39" t="s">
        <v>47</v>
      </c>
      <c r="K859" s="39"/>
    </row>
    <row r="860" customFormat="false" ht="15" hidden="false" customHeight="false" outlineLevel="0" collapsed="false">
      <c r="A860" s="39" t="s">
        <v>970</v>
      </c>
      <c r="B860" s="40" t="n">
        <v>46271</v>
      </c>
      <c r="C860" s="39" t="s">
        <v>101</v>
      </c>
      <c r="D860" s="39" t="s">
        <v>37</v>
      </c>
      <c r="E860" s="39" t="s">
        <v>97</v>
      </c>
      <c r="F860" s="39" t="n">
        <v>2</v>
      </c>
      <c r="G860" s="41" t="n">
        <v>448</v>
      </c>
      <c r="H860" s="42" t="n">
        <f aca="false">F860*G860</f>
        <v>896</v>
      </c>
      <c r="I860" s="39" t="s">
        <v>36</v>
      </c>
      <c r="J860" s="39" t="s">
        <v>42</v>
      </c>
      <c r="K860" s="39" t="n">
        <v>5</v>
      </c>
    </row>
    <row r="861" customFormat="false" ht="15" hidden="false" customHeight="false" outlineLevel="0" collapsed="false">
      <c r="A861" s="39" t="s">
        <v>971</v>
      </c>
      <c r="B861" s="40" t="n">
        <v>46271</v>
      </c>
      <c r="C861" s="39" t="s">
        <v>109</v>
      </c>
      <c r="D861" s="39" t="s">
        <v>33</v>
      </c>
      <c r="E861" s="39" t="s">
        <v>117</v>
      </c>
      <c r="F861" s="39" t="n">
        <v>2</v>
      </c>
      <c r="G861" s="41" t="n">
        <v>838</v>
      </c>
      <c r="H861" s="42" t="n">
        <f aca="false">F861*G861</f>
        <v>1676</v>
      </c>
      <c r="I861" s="39" t="s">
        <v>34</v>
      </c>
      <c r="J861" s="39" t="s">
        <v>42</v>
      </c>
      <c r="K861" s="39" t="n">
        <v>3</v>
      </c>
    </row>
    <row r="862" customFormat="false" ht="15" hidden="false" customHeight="false" outlineLevel="0" collapsed="false">
      <c r="A862" s="39" t="s">
        <v>972</v>
      </c>
      <c r="B862" s="40" t="n">
        <v>46271</v>
      </c>
      <c r="C862" s="39" t="s">
        <v>52</v>
      </c>
      <c r="D862" s="39" t="s">
        <v>33</v>
      </c>
      <c r="E862" s="39" t="s">
        <v>117</v>
      </c>
      <c r="F862" s="39" t="n">
        <v>1</v>
      </c>
      <c r="G862" s="41" t="n">
        <v>418</v>
      </c>
      <c r="H862" s="42" t="n">
        <f aca="false">F862*G862</f>
        <v>418</v>
      </c>
      <c r="I862" s="39" t="s">
        <v>36</v>
      </c>
      <c r="J862" s="39" t="s">
        <v>42</v>
      </c>
      <c r="K862" s="39" t="n">
        <v>3</v>
      </c>
    </row>
    <row r="863" customFormat="false" ht="15" hidden="false" customHeight="false" outlineLevel="0" collapsed="false">
      <c r="A863" s="39" t="s">
        <v>973</v>
      </c>
      <c r="B863" s="40" t="n">
        <v>46271</v>
      </c>
      <c r="C863" s="39" t="s">
        <v>101</v>
      </c>
      <c r="D863" s="39" t="s">
        <v>33</v>
      </c>
      <c r="E863" s="39" t="s">
        <v>114</v>
      </c>
      <c r="F863" s="39" t="n">
        <v>1</v>
      </c>
      <c r="G863" s="41" t="n">
        <v>518</v>
      </c>
      <c r="H863" s="42" t="n">
        <f aca="false">F863*G863</f>
        <v>518</v>
      </c>
      <c r="I863" s="39" t="s">
        <v>36</v>
      </c>
      <c r="J863" s="39" t="s">
        <v>42</v>
      </c>
      <c r="K863" s="39" t="n">
        <v>5</v>
      </c>
    </row>
    <row r="864" customFormat="false" ht="15" hidden="false" customHeight="false" outlineLevel="0" collapsed="false">
      <c r="A864" s="39" t="s">
        <v>974</v>
      </c>
      <c r="B864" s="40" t="n">
        <v>46271</v>
      </c>
      <c r="C864" s="39" t="s">
        <v>48</v>
      </c>
      <c r="D864" s="39" t="s">
        <v>39</v>
      </c>
      <c r="E864" s="39" t="s">
        <v>129</v>
      </c>
      <c r="F864" s="39" t="n">
        <v>1</v>
      </c>
      <c r="G864" s="41" t="n">
        <v>608</v>
      </c>
      <c r="H864" s="42" t="n">
        <f aca="false">F864*G864</f>
        <v>608</v>
      </c>
      <c r="I864" s="39" t="s">
        <v>34</v>
      </c>
      <c r="J864" s="39" t="s">
        <v>45</v>
      </c>
      <c r="K864" s="39"/>
    </row>
    <row r="865" customFormat="false" ht="15" hidden="false" customHeight="false" outlineLevel="0" collapsed="false">
      <c r="A865" s="39" t="s">
        <v>975</v>
      </c>
      <c r="B865" s="40" t="n">
        <v>46272</v>
      </c>
      <c r="C865" s="39" t="s">
        <v>53</v>
      </c>
      <c r="D865" s="39" t="s">
        <v>35</v>
      </c>
      <c r="E865" s="39" t="s">
        <v>159</v>
      </c>
      <c r="F865" s="39" t="n">
        <v>1</v>
      </c>
      <c r="G865" s="41" t="n">
        <v>488</v>
      </c>
      <c r="H865" s="42" t="n">
        <f aca="false">F865*G865</f>
        <v>488</v>
      </c>
      <c r="I865" s="39" t="s">
        <v>36</v>
      </c>
      <c r="J865" s="39" t="s">
        <v>42</v>
      </c>
      <c r="K865" s="39" t="n">
        <v>2</v>
      </c>
    </row>
    <row r="866" customFormat="false" ht="15" hidden="false" customHeight="false" outlineLevel="0" collapsed="false">
      <c r="A866" s="39" t="s">
        <v>976</v>
      </c>
      <c r="B866" s="40" t="n">
        <v>46272</v>
      </c>
      <c r="C866" s="39" t="s">
        <v>101</v>
      </c>
      <c r="D866" s="39" t="s">
        <v>33</v>
      </c>
      <c r="E866" s="39" t="s">
        <v>117</v>
      </c>
      <c r="F866" s="39" t="n">
        <v>1</v>
      </c>
      <c r="G866" s="41" t="n">
        <v>608</v>
      </c>
      <c r="H866" s="42" t="n">
        <f aca="false">F866*G866</f>
        <v>608</v>
      </c>
      <c r="I866" s="39" t="s">
        <v>34</v>
      </c>
      <c r="J866" s="39" t="s">
        <v>42</v>
      </c>
      <c r="K866" s="39" t="n">
        <v>5</v>
      </c>
    </row>
    <row r="867" customFormat="false" ht="15" hidden="false" customHeight="false" outlineLevel="0" collapsed="false">
      <c r="A867" s="39" t="s">
        <v>977</v>
      </c>
      <c r="B867" s="40" t="n">
        <v>46272</v>
      </c>
      <c r="C867" s="39" t="s">
        <v>53</v>
      </c>
      <c r="D867" s="39" t="s">
        <v>33</v>
      </c>
      <c r="E867" s="39" t="s">
        <v>102</v>
      </c>
      <c r="F867" s="39" t="n">
        <v>1</v>
      </c>
      <c r="G867" s="41" t="n">
        <v>578</v>
      </c>
      <c r="H867" s="42" t="n">
        <f aca="false">F867*G867</f>
        <v>578</v>
      </c>
      <c r="I867" s="39" t="s">
        <v>36</v>
      </c>
      <c r="J867" s="39" t="s">
        <v>42</v>
      </c>
      <c r="K867" s="39" t="n">
        <v>5</v>
      </c>
    </row>
    <row r="868" customFormat="false" ht="15" hidden="false" customHeight="false" outlineLevel="0" collapsed="false">
      <c r="A868" s="39" t="s">
        <v>978</v>
      </c>
      <c r="B868" s="40" t="n">
        <v>46272</v>
      </c>
      <c r="C868" s="39" t="s">
        <v>101</v>
      </c>
      <c r="D868" s="39" t="s">
        <v>38</v>
      </c>
      <c r="E868" s="39" t="s">
        <v>107</v>
      </c>
      <c r="F868" s="39" t="n">
        <v>2</v>
      </c>
      <c r="G868" s="41" t="n">
        <v>438</v>
      </c>
      <c r="H868" s="42" t="n">
        <f aca="false">F868*G868</f>
        <v>876</v>
      </c>
      <c r="I868" s="39" t="s">
        <v>34</v>
      </c>
      <c r="J868" s="39" t="s">
        <v>42</v>
      </c>
      <c r="K868" s="39" t="n">
        <v>5</v>
      </c>
    </row>
    <row r="869" customFormat="false" ht="15" hidden="false" customHeight="false" outlineLevel="0" collapsed="false">
      <c r="A869" s="39" t="s">
        <v>979</v>
      </c>
      <c r="B869" s="40" t="n">
        <v>46272</v>
      </c>
      <c r="C869" s="39" t="s">
        <v>50</v>
      </c>
      <c r="D869" s="39" t="s">
        <v>35</v>
      </c>
      <c r="E869" s="39" t="s">
        <v>125</v>
      </c>
      <c r="F869" s="39" t="n">
        <v>1</v>
      </c>
      <c r="G869" s="41" t="n">
        <v>418</v>
      </c>
      <c r="H869" s="42" t="n">
        <f aca="false">F869*G869</f>
        <v>418</v>
      </c>
      <c r="I869" s="39" t="s">
        <v>36</v>
      </c>
      <c r="J869" s="39" t="s">
        <v>42</v>
      </c>
      <c r="K869" s="39" t="n">
        <v>3</v>
      </c>
    </row>
    <row r="870" customFormat="false" ht="15" hidden="false" customHeight="false" outlineLevel="0" collapsed="false">
      <c r="A870" s="39" t="s">
        <v>980</v>
      </c>
      <c r="B870" s="40" t="n">
        <v>46272</v>
      </c>
      <c r="C870" s="39" t="s">
        <v>51</v>
      </c>
      <c r="D870" s="39" t="s">
        <v>38</v>
      </c>
      <c r="E870" s="39" t="s">
        <v>121</v>
      </c>
      <c r="F870" s="39" t="n">
        <v>1</v>
      </c>
      <c r="G870" s="41" t="n">
        <v>568</v>
      </c>
      <c r="H870" s="42" t="n">
        <f aca="false">F870*G870</f>
        <v>568</v>
      </c>
      <c r="I870" s="39" t="s">
        <v>36</v>
      </c>
      <c r="J870" s="39" t="s">
        <v>42</v>
      </c>
      <c r="K870" s="39" t="n">
        <v>3</v>
      </c>
    </row>
    <row r="871" customFormat="false" ht="15" hidden="false" customHeight="false" outlineLevel="0" collapsed="false">
      <c r="A871" s="39" t="s">
        <v>981</v>
      </c>
      <c r="B871" s="40" t="n">
        <v>46272</v>
      </c>
      <c r="C871" s="39" t="s">
        <v>101</v>
      </c>
      <c r="D871" s="39" t="s">
        <v>33</v>
      </c>
      <c r="E871" s="39" t="s">
        <v>136</v>
      </c>
      <c r="F871" s="39" t="n">
        <v>1</v>
      </c>
      <c r="G871" s="41" t="n">
        <v>718</v>
      </c>
      <c r="H871" s="42" t="n">
        <f aca="false">F871*G871</f>
        <v>718</v>
      </c>
      <c r="I871" s="39" t="s">
        <v>34</v>
      </c>
      <c r="J871" s="39" t="s">
        <v>42</v>
      </c>
      <c r="K871" s="39" t="n">
        <v>4</v>
      </c>
    </row>
    <row r="872" customFormat="false" ht="15" hidden="false" customHeight="false" outlineLevel="0" collapsed="false">
      <c r="A872" s="39" t="s">
        <v>982</v>
      </c>
      <c r="B872" s="40" t="n">
        <v>46272</v>
      </c>
      <c r="C872" s="39" t="s">
        <v>101</v>
      </c>
      <c r="D872" s="39" t="s">
        <v>35</v>
      </c>
      <c r="E872" s="39" t="s">
        <v>159</v>
      </c>
      <c r="F872" s="39" t="n">
        <v>1</v>
      </c>
      <c r="G872" s="41" t="n">
        <v>698</v>
      </c>
      <c r="H872" s="42" t="n">
        <f aca="false">F872*G872</f>
        <v>698</v>
      </c>
      <c r="I872" s="39" t="s">
        <v>34</v>
      </c>
      <c r="J872" s="39" t="s">
        <v>42</v>
      </c>
      <c r="K872" s="39" t="n">
        <v>6</v>
      </c>
    </row>
    <row r="873" customFormat="false" ht="15" hidden="false" customHeight="false" outlineLevel="0" collapsed="false">
      <c r="A873" s="39" t="s">
        <v>983</v>
      </c>
      <c r="B873" s="40" t="n">
        <v>46272</v>
      </c>
      <c r="C873" s="39" t="s">
        <v>53</v>
      </c>
      <c r="D873" s="39" t="s">
        <v>35</v>
      </c>
      <c r="E873" s="39" t="s">
        <v>125</v>
      </c>
      <c r="F873" s="39" t="n">
        <v>1</v>
      </c>
      <c r="G873" s="41" t="n">
        <v>368</v>
      </c>
      <c r="H873" s="42" t="n">
        <f aca="false">F873*G873</f>
        <v>368</v>
      </c>
      <c r="I873" s="39" t="s">
        <v>36</v>
      </c>
      <c r="J873" s="39" t="s">
        <v>47</v>
      </c>
      <c r="K873" s="39"/>
    </row>
    <row r="874" customFormat="false" ht="15" hidden="false" customHeight="false" outlineLevel="0" collapsed="false">
      <c r="A874" s="39" t="s">
        <v>984</v>
      </c>
      <c r="B874" s="40" t="n">
        <v>46272</v>
      </c>
      <c r="C874" s="39" t="s">
        <v>52</v>
      </c>
      <c r="D874" s="39" t="s">
        <v>33</v>
      </c>
      <c r="E874" s="39" t="s">
        <v>117</v>
      </c>
      <c r="F874" s="39" t="n">
        <v>1</v>
      </c>
      <c r="G874" s="41" t="n">
        <v>738</v>
      </c>
      <c r="H874" s="42" t="n">
        <f aca="false">F874*G874</f>
        <v>738</v>
      </c>
      <c r="I874" s="39" t="s">
        <v>36</v>
      </c>
      <c r="J874" s="39" t="s">
        <v>42</v>
      </c>
      <c r="K874" s="39" t="n">
        <v>6</v>
      </c>
    </row>
    <row r="875" customFormat="false" ht="15" hidden="false" customHeight="false" outlineLevel="0" collapsed="false">
      <c r="A875" s="39" t="s">
        <v>985</v>
      </c>
      <c r="B875" s="40" t="n">
        <v>46273</v>
      </c>
      <c r="C875" s="39" t="s">
        <v>51</v>
      </c>
      <c r="D875" s="39" t="s">
        <v>37</v>
      </c>
      <c r="E875" s="39" t="s">
        <v>131</v>
      </c>
      <c r="F875" s="39" t="n">
        <v>1</v>
      </c>
      <c r="G875" s="41" t="n">
        <v>608</v>
      </c>
      <c r="H875" s="42" t="n">
        <f aca="false">F875*G875</f>
        <v>608</v>
      </c>
      <c r="I875" s="39" t="s">
        <v>34</v>
      </c>
      <c r="J875" s="39" t="s">
        <v>42</v>
      </c>
      <c r="K875" s="39" t="n">
        <v>5</v>
      </c>
    </row>
    <row r="876" customFormat="false" ht="15" hidden="false" customHeight="false" outlineLevel="0" collapsed="false">
      <c r="A876" s="39" t="s">
        <v>986</v>
      </c>
      <c r="B876" s="40" t="n">
        <v>46273</v>
      </c>
      <c r="C876" s="39" t="s">
        <v>101</v>
      </c>
      <c r="D876" s="39" t="s">
        <v>33</v>
      </c>
      <c r="E876" s="39" t="s">
        <v>136</v>
      </c>
      <c r="F876" s="39" t="n">
        <v>1</v>
      </c>
      <c r="G876" s="41" t="n">
        <v>618</v>
      </c>
      <c r="H876" s="42" t="n">
        <f aca="false">F876*G876</f>
        <v>618</v>
      </c>
      <c r="I876" s="39" t="s">
        <v>34</v>
      </c>
      <c r="J876" s="39" t="s">
        <v>42</v>
      </c>
      <c r="K876" s="39" t="n">
        <v>5</v>
      </c>
    </row>
    <row r="877" customFormat="false" ht="15" hidden="false" customHeight="false" outlineLevel="0" collapsed="false">
      <c r="A877" s="39" t="s">
        <v>987</v>
      </c>
      <c r="B877" s="40" t="n">
        <v>46273</v>
      </c>
      <c r="C877" s="39" t="s">
        <v>101</v>
      </c>
      <c r="D877" s="39" t="s">
        <v>33</v>
      </c>
      <c r="E877" s="39" t="s">
        <v>102</v>
      </c>
      <c r="F877" s="39" t="n">
        <v>1</v>
      </c>
      <c r="G877" s="41" t="n">
        <v>788</v>
      </c>
      <c r="H877" s="42" t="n">
        <f aca="false">F877*G877</f>
        <v>788</v>
      </c>
      <c r="I877" s="39" t="s">
        <v>36</v>
      </c>
      <c r="J877" s="39" t="s">
        <v>42</v>
      </c>
      <c r="K877" s="39" t="n">
        <v>4</v>
      </c>
    </row>
    <row r="878" customFormat="false" ht="15" hidden="false" customHeight="false" outlineLevel="0" collapsed="false">
      <c r="A878" s="39" t="s">
        <v>988</v>
      </c>
      <c r="B878" s="40" t="n">
        <v>46273</v>
      </c>
      <c r="C878" s="39" t="s">
        <v>109</v>
      </c>
      <c r="D878" s="39" t="s">
        <v>39</v>
      </c>
      <c r="E878" s="39" t="s">
        <v>129</v>
      </c>
      <c r="F878" s="39" t="n">
        <v>1</v>
      </c>
      <c r="G878" s="41" t="n">
        <v>408</v>
      </c>
      <c r="H878" s="42" t="n">
        <f aca="false">F878*G878</f>
        <v>408</v>
      </c>
      <c r="I878" s="39" t="s">
        <v>36</v>
      </c>
      <c r="J878" s="39" t="s">
        <v>45</v>
      </c>
      <c r="K878" s="39"/>
    </row>
    <row r="879" customFormat="false" ht="15" hidden="false" customHeight="false" outlineLevel="0" collapsed="false">
      <c r="A879" s="39" t="s">
        <v>989</v>
      </c>
      <c r="B879" s="40" t="n">
        <v>46273</v>
      </c>
      <c r="C879" s="39" t="s">
        <v>101</v>
      </c>
      <c r="D879" s="39" t="s">
        <v>39</v>
      </c>
      <c r="E879" s="39" t="s">
        <v>105</v>
      </c>
      <c r="F879" s="39" t="n">
        <v>1</v>
      </c>
      <c r="G879" s="41" t="n">
        <v>858</v>
      </c>
      <c r="H879" s="42" t="n">
        <f aca="false">F879*G879</f>
        <v>858</v>
      </c>
      <c r="I879" s="39" t="s">
        <v>36</v>
      </c>
      <c r="J879" s="39" t="s">
        <v>42</v>
      </c>
      <c r="K879" s="39" t="n">
        <v>4</v>
      </c>
    </row>
    <row r="880" customFormat="false" ht="15" hidden="false" customHeight="false" outlineLevel="0" collapsed="false">
      <c r="A880" s="39" t="s">
        <v>990</v>
      </c>
      <c r="B880" s="40" t="n">
        <v>46273</v>
      </c>
      <c r="C880" s="39" t="s">
        <v>109</v>
      </c>
      <c r="D880" s="39" t="s">
        <v>37</v>
      </c>
      <c r="E880" s="39" t="s">
        <v>141</v>
      </c>
      <c r="F880" s="39" t="n">
        <v>2</v>
      </c>
      <c r="G880" s="41" t="n">
        <v>248</v>
      </c>
      <c r="H880" s="42" t="n">
        <f aca="false">F880*G880</f>
        <v>496</v>
      </c>
      <c r="I880" s="39" t="s">
        <v>36</v>
      </c>
      <c r="J880" s="39" t="s">
        <v>42</v>
      </c>
      <c r="K880" s="39" t="n">
        <v>3</v>
      </c>
    </row>
    <row r="881" customFormat="false" ht="15" hidden="false" customHeight="false" outlineLevel="0" collapsed="false">
      <c r="A881" s="39" t="s">
        <v>991</v>
      </c>
      <c r="B881" s="40" t="n">
        <v>46273</v>
      </c>
      <c r="C881" s="39" t="s">
        <v>48</v>
      </c>
      <c r="D881" s="39" t="s">
        <v>37</v>
      </c>
      <c r="E881" s="39" t="s">
        <v>131</v>
      </c>
      <c r="F881" s="39" t="n">
        <v>3</v>
      </c>
      <c r="G881" s="41" t="n">
        <v>608</v>
      </c>
      <c r="H881" s="42" t="n">
        <f aca="false">F881*G881</f>
        <v>1824</v>
      </c>
      <c r="I881" s="39" t="s">
        <v>36</v>
      </c>
      <c r="J881" s="39" t="s">
        <v>47</v>
      </c>
      <c r="K881" s="39"/>
    </row>
    <row r="882" customFormat="false" ht="15" hidden="false" customHeight="false" outlineLevel="0" collapsed="false">
      <c r="A882" s="39" t="s">
        <v>992</v>
      </c>
      <c r="B882" s="40" t="n">
        <v>46273</v>
      </c>
      <c r="C882" s="39" t="s">
        <v>53</v>
      </c>
      <c r="D882" s="39" t="s">
        <v>33</v>
      </c>
      <c r="E882" s="39" t="s">
        <v>136</v>
      </c>
      <c r="F882" s="39" t="n">
        <v>1</v>
      </c>
      <c r="G882" s="41" t="n">
        <v>778</v>
      </c>
      <c r="H882" s="42" t="n">
        <f aca="false">F882*G882</f>
        <v>778</v>
      </c>
      <c r="I882" s="39" t="s">
        <v>36</v>
      </c>
      <c r="J882" s="39" t="s">
        <v>47</v>
      </c>
      <c r="K882" s="39"/>
    </row>
    <row r="883" customFormat="false" ht="15" hidden="false" customHeight="false" outlineLevel="0" collapsed="false">
      <c r="A883" s="39" t="s">
        <v>993</v>
      </c>
      <c r="B883" s="40" t="n">
        <v>46273</v>
      </c>
      <c r="C883" s="39" t="s">
        <v>50</v>
      </c>
      <c r="D883" s="39" t="s">
        <v>38</v>
      </c>
      <c r="E883" s="39" t="s">
        <v>121</v>
      </c>
      <c r="F883" s="39" t="n">
        <v>1</v>
      </c>
      <c r="G883" s="41" t="n">
        <v>818</v>
      </c>
      <c r="H883" s="42" t="n">
        <f aca="false">F883*G883</f>
        <v>818</v>
      </c>
      <c r="I883" s="39" t="s">
        <v>34</v>
      </c>
      <c r="J883" s="39" t="s">
        <v>42</v>
      </c>
      <c r="K883" s="39" t="n">
        <v>4</v>
      </c>
    </row>
    <row r="884" customFormat="false" ht="15" hidden="false" customHeight="false" outlineLevel="0" collapsed="false">
      <c r="A884" s="39" t="s">
        <v>994</v>
      </c>
      <c r="B884" s="40" t="n">
        <v>46273</v>
      </c>
      <c r="C884" s="39" t="s">
        <v>50</v>
      </c>
      <c r="D884" s="39" t="s">
        <v>35</v>
      </c>
      <c r="E884" s="39" t="s">
        <v>95</v>
      </c>
      <c r="F884" s="39" t="n">
        <v>1</v>
      </c>
      <c r="G884" s="41" t="n">
        <v>638</v>
      </c>
      <c r="H884" s="42" t="n">
        <f aca="false">F884*G884</f>
        <v>638</v>
      </c>
      <c r="I884" s="39" t="s">
        <v>36</v>
      </c>
      <c r="J884" s="39" t="s">
        <v>42</v>
      </c>
      <c r="K884" s="39" t="n">
        <v>3</v>
      </c>
    </row>
    <row r="885" customFormat="false" ht="15" hidden="false" customHeight="false" outlineLevel="0" collapsed="false">
      <c r="A885" s="39" t="s">
        <v>995</v>
      </c>
      <c r="B885" s="40" t="n">
        <v>46273</v>
      </c>
      <c r="C885" s="39" t="s">
        <v>48</v>
      </c>
      <c r="D885" s="39" t="s">
        <v>33</v>
      </c>
      <c r="E885" s="39" t="s">
        <v>114</v>
      </c>
      <c r="F885" s="39" t="n">
        <v>1</v>
      </c>
      <c r="G885" s="41" t="n">
        <v>478</v>
      </c>
      <c r="H885" s="42" t="n">
        <f aca="false">F885*G885</f>
        <v>478</v>
      </c>
      <c r="I885" s="39" t="s">
        <v>34</v>
      </c>
      <c r="J885" s="39" t="s">
        <v>42</v>
      </c>
      <c r="K885" s="39" t="n">
        <v>7</v>
      </c>
    </row>
    <row r="886" customFormat="false" ht="15" hidden="false" customHeight="false" outlineLevel="0" collapsed="false">
      <c r="A886" s="39" t="s">
        <v>996</v>
      </c>
      <c r="B886" s="40" t="n">
        <v>46273</v>
      </c>
      <c r="C886" s="39" t="s">
        <v>50</v>
      </c>
      <c r="D886" s="39" t="s">
        <v>39</v>
      </c>
      <c r="E886" s="39" t="s">
        <v>99</v>
      </c>
      <c r="F886" s="39" t="n">
        <v>1</v>
      </c>
      <c r="G886" s="41" t="n">
        <v>798</v>
      </c>
      <c r="H886" s="42" t="n">
        <f aca="false">F886*G886</f>
        <v>798</v>
      </c>
      <c r="I886" s="39" t="s">
        <v>34</v>
      </c>
      <c r="J886" s="39" t="s">
        <v>42</v>
      </c>
      <c r="K886" s="39" t="n">
        <v>3</v>
      </c>
    </row>
    <row r="887" customFormat="false" ht="15" hidden="false" customHeight="false" outlineLevel="0" collapsed="false">
      <c r="A887" s="39" t="s">
        <v>997</v>
      </c>
      <c r="B887" s="40" t="n">
        <v>46273</v>
      </c>
      <c r="C887" s="39" t="s">
        <v>101</v>
      </c>
      <c r="D887" s="39" t="s">
        <v>39</v>
      </c>
      <c r="E887" s="39" t="s">
        <v>129</v>
      </c>
      <c r="F887" s="39" t="n">
        <v>1</v>
      </c>
      <c r="G887" s="41" t="n">
        <v>728</v>
      </c>
      <c r="H887" s="42" t="n">
        <f aca="false">F887*G887</f>
        <v>728</v>
      </c>
      <c r="I887" s="39" t="s">
        <v>34</v>
      </c>
      <c r="J887" s="39" t="s">
        <v>42</v>
      </c>
      <c r="K887" s="39" t="n">
        <v>4</v>
      </c>
    </row>
    <row r="888" customFormat="false" ht="15" hidden="false" customHeight="false" outlineLevel="0" collapsed="false">
      <c r="A888" s="39" t="s">
        <v>998</v>
      </c>
      <c r="B888" s="40" t="n">
        <v>46273</v>
      </c>
      <c r="C888" s="39" t="s">
        <v>49</v>
      </c>
      <c r="D888" s="39" t="s">
        <v>37</v>
      </c>
      <c r="E888" s="39" t="s">
        <v>131</v>
      </c>
      <c r="F888" s="39" t="n">
        <v>2</v>
      </c>
      <c r="G888" s="41" t="n">
        <v>298</v>
      </c>
      <c r="H888" s="42" t="n">
        <f aca="false">F888*G888</f>
        <v>596</v>
      </c>
      <c r="I888" s="39" t="s">
        <v>34</v>
      </c>
      <c r="J888" s="39" t="s">
        <v>42</v>
      </c>
      <c r="K888" s="39" t="n">
        <v>3</v>
      </c>
    </row>
    <row r="889" customFormat="false" ht="15" hidden="false" customHeight="false" outlineLevel="0" collapsed="false">
      <c r="A889" s="39" t="s">
        <v>999</v>
      </c>
      <c r="B889" s="40" t="n">
        <v>46273</v>
      </c>
      <c r="C889" s="39" t="s">
        <v>49</v>
      </c>
      <c r="D889" s="39" t="s">
        <v>35</v>
      </c>
      <c r="E889" s="39" t="s">
        <v>125</v>
      </c>
      <c r="F889" s="39" t="n">
        <v>1</v>
      </c>
      <c r="G889" s="41" t="n">
        <v>538</v>
      </c>
      <c r="H889" s="42" t="n">
        <f aca="false">F889*G889</f>
        <v>538</v>
      </c>
      <c r="I889" s="39" t="s">
        <v>34</v>
      </c>
      <c r="J889" s="39" t="s">
        <v>42</v>
      </c>
      <c r="K889" s="39" t="n">
        <v>7</v>
      </c>
    </row>
    <row r="890" customFormat="false" ht="15" hidden="false" customHeight="false" outlineLevel="0" collapsed="false">
      <c r="A890" s="39" t="s">
        <v>1000</v>
      </c>
      <c r="B890" s="40" t="n">
        <v>46273</v>
      </c>
      <c r="C890" s="39" t="s">
        <v>109</v>
      </c>
      <c r="D890" s="39" t="s">
        <v>33</v>
      </c>
      <c r="E890" s="39" t="s">
        <v>136</v>
      </c>
      <c r="F890" s="39" t="n">
        <v>1</v>
      </c>
      <c r="G890" s="41" t="n">
        <v>408</v>
      </c>
      <c r="H890" s="42" t="n">
        <f aca="false">F890*G890</f>
        <v>408</v>
      </c>
      <c r="I890" s="39" t="s">
        <v>34</v>
      </c>
      <c r="J890" s="39" t="s">
        <v>42</v>
      </c>
      <c r="K890" s="39" t="n">
        <v>3</v>
      </c>
    </row>
    <row r="891" customFormat="false" ht="15" hidden="false" customHeight="false" outlineLevel="0" collapsed="false">
      <c r="A891" s="39" t="s">
        <v>1001</v>
      </c>
      <c r="B891" s="40" t="n">
        <v>46273</v>
      </c>
      <c r="C891" s="39" t="s">
        <v>52</v>
      </c>
      <c r="D891" s="39" t="s">
        <v>35</v>
      </c>
      <c r="E891" s="39" t="s">
        <v>159</v>
      </c>
      <c r="F891" s="39" t="n">
        <v>3</v>
      </c>
      <c r="G891" s="41" t="n">
        <v>348</v>
      </c>
      <c r="H891" s="42" t="n">
        <f aca="false">F891*G891</f>
        <v>1044</v>
      </c>
      <c r="I891" s="39" t="s">
        <v>34</v>
      </c>
      <c r="J891" s="39" t="s">
        <v>42</v>
      </c>
      <c r="K891" s="39" t="n">
        <v>2</v>
      </c>
    </row>
    <row r="892" customFormat="false" ht="15" hidden="false" customHeight="false" outlineLevel="0" collapsed="false">
      <c r="A892" s="39" t="s">
        <v>1002</v>
      </c>
      <c r="B892" s="40" t="n">
        <v>46274</v>
      </c>
      <c r="C892" s="39" t="s">
        <v>48</v>
      </c>
      <c r="D892" s="39" t="s">
        <v>33</v>
      </c>
      <c r="E892" s="39" t="s">
        <v>102</v>
      </c>
      <c r="F892" s="39" t="n">
        <v>1</v>
      </c>
      <c r="G892" s="41" t="n">
        <v>578</v>
      </c>
      <c r="H892" s="42" t="n">
        <f aca="false">F892*G892</f>
        <v>578</v>
      </c>
      <c r="I892" s="39" t="s">
        <v>34</v>
      </c>
      <c r="J892" s="39" t="s">
        <v>42</v>
      </c>
      <c r="K892" s="39" t="n">
        <v>5</v>
      </c>
    </row>
    <row r="893" customFormat="false" ht="15" hidden="false" customHeight="false" outlineLevel="0" collapsed="false">
      <c r="A893" s="39" t="s">
        <v>1003</v>
      </c>
      <c r="B893" s="40" t="n">
        <v>46274</v>
      </c>
      <c r="C893" s="39" t="s">
        <v>49</v>
      </c>
      <c r="D893" s="39" t="s">
        <v>37</v>
      </c>
      <c r="E893" s="39" t="s">
        <v>97</v>
      </c>
      <c r="F893" s="39" t="n">
        <v>3</v>
      </c>
      <c r="G893" s="41" t="n">
        <v>578</v>
      </c>
      <c r="H893" s="42" t="n">
        <f aca="false">F893*G893</f>
        <v>1734</v>
      </c>
      <c r="I893" s="39" t="s">
        <v>36</v>
      </c>
      <c r="J893" s="39" t="s">
        <v>42</v>
      </c>
      <c r="K893" s="39" t="n">
        <v>3</v>
      </c>
    </row>
    <row r="894" customFormat="false" ht="15" hidden="false" customHeight="false" outlineLevel="0" collapsed="false">
      <c r="A894" s="39" t="s">
        <v>1004</v>
      </c>
      <c r="B894" s="40" t="n">
        <v>46274</v>
      </c>
      <c r="C894" s="39" t="s">
        <v>101</v>
      </c>
      <c r="D894" s="39" t="s">
        <v>39</v>
      </c>
      <c r="E894" s="39" t="s">
        <v>99</v>
      </c>
      <c r="F894" s="39" t="n">
        <v>2</v>
      </c>
      <c r="G894" s="41" t="n">
        <v>688</v>
      </c>
      <c r="H894" s="42" t="n">
        <f aca="false">F894*G894</f>
        <v>1376</v>
      </c>
      <c r="I894" s="39" t="s">
        <v>36</v>
      </c>
      <c r="J894" s="39" t="s">
        <v>42</v>
      </c>
      <c r="K894" s="39" t="n">
        <v>2</v>
      </c>
    </row>
    <row r="895" customFormat="false" ht="15" hidden="false" customHeight="false" outlineLevel="0" collapsed="false">
      <c r="A895" s="39" t="s">
        <v>1005</v>
      </c>
      <c r="B895" s="40" t="n">
        <v>46274</v>
      </c>
      <c r="C895" s="39" t="s">
        <v>109</v>
      </c>
      <c r="D895" s="39" t="s">
        <v>38</v>
      </c>
      <c r="E895" s="39" t="s">
        <v>121</v>
      </c>
      <c r="F895" s="39" t="n">
        <v>1</v>
      </c>
      <c r="G895" s="41" t="n">
        <v>728</v>
      </c>
      <c r="H895" s="42" t="n">
        <f aca="false">F895*G895</f>
        <v>728</v>
      </c>
      <c r="I895" s="39" t="s">
        <v>36</v>
      </c>
      <c r="J895" s="39" t="s">
        <v>42</v>
      </c>
      <c r="K895" s="39" t="n">
        <v>4</v>
      </c>
    </row>
    <row r="896" customFormat="false" ht="15" hidden="false" customHeight="false" outlineLevel="0" collapsed="false">
      <c r="A896" s="39" t="s">
        <v>1006</v>
      </c>
      <c r="B896" s="40" t="n">
        <v>46274</v>
      </c>
      <c r="C896" s="39" t="s">
        <v>109</v>
      </c>
      <c r="D896" s="39" t="s">
        <v>37</v>
      </c>
      <c r="E896" s="39" t="s">
        <v>97</v>
      </c>
      <c r="F896" s="39" t="n">
        <v>2</v>
      </c>
      <c r="G896" s="41" t="n">
        <v>498</v>
      </c>
      <c r="H896" s="42" t="n">
        <f aca="false">F896*G896</f>
        <v>996</v>
      </c>
      <c r="I896" s="39" t="s">
        <v>34</v>
      </c>
      <c r="J896" s="39" t="s">
        <v>42</v>
      </c>
      <c r="K896" s="39" t="n">
        <v>4</v>
      </c>
    </row>
    <row r="897" customFormat="false" ht="15" hidden="false" customHeight="false" outlineLevel="0" collapsed="false">
      <c r="A897" s="39" t="s">
        <v>1007</v>
      </c>
      <c r="B897" s="40" t="n">
        <v>46274</v>
      </c>
      <c r="C897" s="39" t="s">
        <v>49</v>
      </c>
      <c r="D897" s="39" t="s">
        <v>37</v>
      </c>
      <c r="E897" s="39" t="s">
        <v>97</v>
      </c>
      <c r="F897" s="39" t="n">
        <v>3</v>
      </c>
      <c r="G897" s="41" t="n">
        <v>528</v>
      </c>
      <c r="H897" s="42" t="n">
        <f aca="false">F897*G897</f>
        <v>1584</v>
      </c>
      <c r="I897" s="39" t="s">
        <v>34</v>
      </c>
      <c r="J897" s="39" t="s">
        <v>42</v>
      </c>
      <c r="K897" s="39" t="n">
        <v>6</v>
      </c>
    </row>
    <row r="898" customFormat="false" ht="15" hidden="false" customHeight="false" outlineLevel="0" collapsed="false">
      <c r="A898" s="39" t="s">
        <v>1008</v>
      </c>
      <c r="B898" s="40" t="n">
        <v>46274</v>
      </c>
      <c r="C898" s="39" t="s">
        <v>53</v>
      </c>
      <c r="D898" s="39" t="s">
        <v>38</v>
      </c>
      <c r="E898" s="39" t="s">
        <v>121</v>
      </c>
      <c r="F898" s="39" t="n">
        <v>1</v>
      </c>
      <c r="G898" s="41" t="n">
        <v>528</v>
      </c>
      <c r="H898" s="42" t="n">
        <f aca="false">F898*G898</f>
        <v>528</v>
      </c>
      <c r="I898" s="39" t="s">
        <v>34</v>
      </c>
      <c r="J898" s="39" t="s">
        <v>42</v>
      </c>
      <c r="K898" s="39" t="n">
        <v>5</v>
      </c>
    </row>
    <row r="899" customFormat="false" ht="15" hidden="false" customHeight="false" outlineLevel="0" collapsed="false">
      <c r="A899" s="39" t="s">
        <v>1009</v>
      </c>
      <c r="B899" s="40" t="n">
        <v>46274</v>
      </c>
      <c r="C899" s="39" t="s">
        <v>109</v>
      </c>
      <c r="D899" s="39" t="s">
        <v>33</v>
      </c>
      <c r="E899" s="39" t="s">
        <v>114</v>
      </c>
      <c r="F899" s="39" t="n">
        <v>1</v>
      </c>
      <c r="G899" s="41" t="n">
        <v>558</v>
      </c>
      <c r="H899" s="42" t="n">
        <f aca="false">F899*G899</f>
        <v>558</v>
      </c>
      <c r="I899" s="39" t="s">
        <v>36</v>
      </c>
      <c r="J899" s="39" t="s">
        <v>42</v>
      </c>
      <c r="K899" s="39" t="n">
        <v>3</v>
      </c>
    </row>
    <row r="900" customFormat="false" ht="15" hidden="false" customHeight="false" outlineLevel="0" collapsed="false">
      <c r="A900" s="39" t="s">
        <v>1010</v>
      </c>
      <c r="B900" s="40" t="n">
        <v>46274</v>
      </c>
      <c r="C900" s="39" t="s">
        <v>48</v>
      </c>
      <c r="D900" s="39" t="s">
        <v>33</v>
      </c>
      <c r="E900" s="39" t="s">
        <v>102</v>
      </c>
      <c r="F900" s="39" t="n">
        <v>1</v>
      </c>
      <c r="G900" s="41" t="n">
        <v>588</v>
      </c>
      <c r="H900" s="42" t="n">
        <f aca="false">F900*G900</f>
        <v>588</v>
      </c>
      <c r="I900" s="39" t="s">
        <v>34</v>
      </c>
      <c r="J900" s="39" t="s">
        <v>42</v>
      </c>
      <c r="K900" s="39" t="n">
        <v>3</v>
      </c>
    </row>
    <row r="901" customFormat="false" ht="15" hidden="false" customHeight="false" outlineLevel="0" collapsed="false">
      <c r="A901" s="39" t="s">
        <v>1011</v>
      </c>
      <c r="B901" s="40" t="n">
        <v>46274</v>
      </c>
      <c r="C901" s="39" t="s">
        <v>51</v>
      </c>
      <c r="D901" s="39" t="s">
        <v>33</v>
      </c>
      <c r="E901" s="39" t="s">
        <v>102</v>
      </c>
      <c r="F901" s="39" t="n">
        <v>1</v>
      </c>
      <c r="G901" s="41" t="n">
        <v>538</v>
      </c>
      <c r="H901" s="42" t="n">
        <f aca="false">F901*G901</f>
        <v>538</v>
      </c>
      <c r="I901" s="39" t="s">
        <v>34</v>
      </c>
      <c r="J901" s="39" t="s">
        <v>42</v>
      </c>
      <c r="K901" s="39" t="n">
        <v>5</v>
      </c>
    </row>
    <row r="902" customFormat="false" ht="15" hidden="false" customHeight="false" outlineLevel="0" collapsed="false">
      <c r="A902" s="39" t="s">
        <v>1012</v>
      </c>
      <c r="B902" s="40" t="n">
        <v>46274</v>
      </c>
      <c r="C902" s="39" t="s">
        <v>53</v>
      </c>
      <c r="D902" s="39" t="s">
        <v>37</v>
      </c>
      <c r="E902" s="39" t="s">
        <v>141</v>
      </c>
      <c r="F902" s="39" t="n">
        <v>1</v>
      </c>
      <c r="G902" s="41" t="n">
        <v>388</v>
      </c>
      <c r="H902" s="42" t="n">
        <f aca="false">F902*G902</f>
        <v>388</v>
      </c>
      <c r="I902" s="39" t="s">
        <v>34</v>
      </c>
      <c r="J902" s="39" t="s">
        <v>42</v>
      </c>
      <c r="K902" s="39" t="n">
        <v>4</v>
      </c>
    </row>
    <row r="903" customFormat="false" ht="15" hidden="false" customHeight="false" outlineLevel="0" collapsed="false">
      <c r="A903" s="39" t="s">
        <v>1013</v>
      </c>
      <c r="B903" s="40" t="n">
        <v>46275</v>
      </c>
      <c r="C903" s="39" t="s">
        <v>101</v>
      </c>
      <c r="D903" s="39" t="s">
        <v>39</v>
      </c>
      <c r="E903" s="39" t="s">
        <v>99</v>
      </c>
      <c r="F903" s="39" t="n">
        <v>1</v>
      </c>
      <c r="G903" s="41" t="n">
        <v>788</v>
      </c>
      <c r="H903" s="42" t="n">
        <f aca="false">F903*G903</f>
        <v>788</v>
      </c>
      <c r="I903" s="39" t="s">
        <v>34</v>
      </c>
      <c r="J903" s="39" t="s">
        <v>42</v>
      </c>
      <c r="K903" s="39" t="n">
        <v>3</v>
      </c>
    </row>
    <row r="904" customFormat="false" ht="15" hidden="false" customHeight="false" outlineLevel="0" collapsed="false">
      <c r="A904" s="39" t="s">
        <v>1014</v>
      </c>
      <c r="B904" s="40" t="n">
        <v>46275</v>
      </c>
      <c r="C904" s="39" t="s">
        <v>52</v>
      </c>
      <c r="D904" s="39" t="s">
        <v>35</v>
      </c>
      <c r="E904" s="39" t="s">
        <v>125</v>
      </c>
      <c r="F904" s="39" t="n">
        <v>1</v>
      </c>
      <c r="G904" s="41" t="n">
        <v>568</v>
      </c>
      <c r="H904" s="42" t="n">
        <f aca="false">F904*G904</f>
        <v>568</v>
      </c>
      <c r="I904" s="39" t="s">
        <v>34</v>
      </c>
      <c r="J904" s="39" t="s">
        <v>43</v>
      </c>
      <c r="K904" s="39" t="n">
        <v>4</v>
      </c>
    </row>
    <row r="905" customFormat="false" ht="15" hidden="false" customHeight="false" outlineLevel="0" collapsed="false">
      <c r="A905" s="39" t="s">
        <v>1015</v>
      </c>
      <c r="B905" s="40" t="n">
        <v>46275</v>
      </c>
      <c r="C905" s="39" t="s">
        <v>49</v>
      </c>
      <c r="D905" s="39" t="s">
        <v>33</v>
      </c>
      <c r="E905" s="39" t="s">
        <v>102</v>
      </c>
      <c r="F905" s="39" t="n">
        <v>1</v>
      </c>
      <c r="G905" s="41" t="n">
        <v>548</v>
      </c>
      <c r="H905" s="42" t="n">
        <f aca="false">F905*G905</f>
        <v>548</v>
      </c>
      <c r="I905" s="39" t="s">
        <v>34</v>
      </c>
      <c r="J905" s="39" t="s">
        <v>42</v>
      </c>
      <c r="K905" s="39" t="n">
        <v>4</v>
      </c>
    </row>
    <row r="906" customFormat="false" ht="15" hidden="false" customHeight="false" outlineLevel="0" collapsed="false">
      <c r="A906" s="39" t="s">
        <v>1016</v>
      </c>
      <c r="B906" s="40" t="n">
        <v>46275</v>
      </c>
      <c r="C906" s="39" t="s">
        <v>48</v>
      </c>
      <c r="D906" s="39" t="s">
        <v>38</v>
      </c>
      <c r="E906" s="39" t="s">
        <v>121</v>
      </c>
      <c r="F906" s="39" t="n">
        <v>1</v>
      </c>
      <c r="G906" s="41" t="n">
        <v>528</v>
      </c>
      <c r="H906" s="42" t="n">
        <f aca="false">F906*G906</f>
        <v>528</v>
      </c>
      <c r="I906" s="39" t="s">
        <v>36</v>
      </c>
      <c r="J906" s="39" t="s">
        <v>42</v>
      </c>
      <c r="K906" s="39" t="n">
        <v>4</v>
      </c>
    </row>
    <row r="907" customFormat="false" ht="15" hidden="false" customHeight="false" outlineLevel="0" collapsed="false">
      <c r="A907" s="39" t="s">
        <v>1017</v>
      </c>
      <c r="B907" s="40" t="n">
        <v>46275</v>
      </c>
      <c r="C907" s="39" t="s">
        <v>53</v>
      </c>
      <c r="D907" s="39" t="s">
        <v>38</v>
      </c>
      <c r="E907" s="39" t="s">
        <v>121</v>
      </c>
      <c r="F907" s="39" t="n">
        <v>2</v>
      </c>
      <c r="G907" s="41" t="n">
        <v>988</v>
      </c>
      <c r="H907" s="42" t="n">
        <f aca="false">F907*G907</f>
        <v>1976</v>
      </c>
      <c r="I907" s="39" t="s">
        <v>36</v>
      </c>
      <c r="J907" s="39" t="s">
        <v>42</v>
      </c>
      <c r="K907" s="39" t="n">
        <v>4</v>
      </c>
    </row>
    <row r="908" customFormat="false" ht="15" hidden="false" customHeight="false" outlineLevel="0" collapsed="false">
      <c r="A908" s="39" t="s">
        <v>1018</v>
      </c>
      <c r="B908" s="40" t="n">
        <v>46275</v>
      </c>
      <c r="C908" s="39" t="s">
        <v>109</v>
      </c>
      <c r="D908" s="39" t="s">
        <v>33</v>
      </c>
      <c r="E908" s="39" t="s">
        <v>136</v>
      </c>
      <c r="F908" s="39" t="n">
        <v>1</v>
      </c>
      <c r="G908" s="41" t="n">
        <v>848</v>
      </c>
      <c r="H908" s="42" t="n">
        <f aca="false">F908*G908</f>
        <v>848</v>
      </c>
      <c r="I908" s="39" t="s">
        <v>36</v>
      </c>
      <c r="J908" s="39" t="s">
        <v>42</v>
      </c>
      <c r="K908" s="39" t="n">
        <v>5</v>
      </c>
    </row>
    <row r="909" customFormat="false" ht="15" hidden="false" customHeight="false" outlineLevel="0" collapsed="false">
      <c r="A909" s="39" t="s">
        <v>1019</v>
      </c>
      <c r="B909" s="40" t="n">
        <v>46275</v>
      </c>
      <c r="C909" s="39" t="s">
        <v>51</v>
      </c>
      <c r="D909" s="39" t="s">
        <v>37</v>
      </c>
      <c r="E909" s="39" t="s">
        <v>141</v>
      </c>
      <c r="F909" s="39" t="n">
        <v>1</v>
      </c>
      <c r="G909" s="41" t="n">
        <v>508</v>
      </c>
      <c r="H909" s="42" t="n">
        <f aca="false">F909*G909</f>
        <v>508</v>
      </c>
      <c r="I909" s="39" t="s">
        <v>36</v>
      </c>
      <c r="J909" s="39" t="s">
        <v>43</v>
      </c>
      <c r="K909" s="39" t="n">
        <v>7</v>
      </c>
    </row>
    <row r="910" customFormat="false" ht="15" hidden="false" customHeight="false" outlineLevel="0" collapsed="false">
      <c r="A910" s="39" t="s">
        <v>1020</v>
      </c>
      <c r="B910" s="40" t="n">
        <v>46275</v>
      </c>
      <c r="C910" s="39" t="s">
        <v>49</v>
      </c>
      <c r="D910" s="39" t="s">
        <v>33</v>
      </c>
      <c r="E910" s="39" t="s">
        <v>114</v>
      </c>
      <c r="F910" s="39" t="n">
        <v>1</v>
      </c>
      <c r="G910" s="41" t="n">
        <v>618</v>
      </c>
      <c r="H910" s="42" t="n">
        <f aca="false">F910*G910</f>
        <v>618</v>
      </c>
      <c r="I910" s="39" t="s">
        <v>34</v>
      </c>
      <c r="J910" s="39" t="s">
        <v>42</v>
      </c>
      <c r="K910" s="39" t="n">
        <v>4</v>
      </c>
    </row>
    <row r="911" customFormat="false" ht="15" hidden="false" customHeight="false" outlineLevel="0" collapsed="false">
      <c r="A911" s="39" t="s">
        <v>1021</v>
      </c>
      <c r="B911" s="40" t="n">
        <v>46275</v>
      </c>
      <c r="C911" s="39" t="s">
        <v>101</v>
      </c>
      <c r="D911" s="39" t="s">
        <v>37</v>
      </c>
      <c r="E911" s="39" t="s">
        <v>97</v>
      </c>
      <c r="F911" s="39" t="n">
        <v>2</v>
      </c>
      <c r="G911" s="41" t="n">
        <v>478</v>
      </c>
      <c r="H911" s="42" t="n">
        <f aca="false">F911*G911</f>
        <v>956</v>
      </c>
      <c r="I911" s="39" t="s">
        <v>36</v>
      </c>
      <c r="J911" s="39" t="s">
        <v>42</v>
      </c>
      <c r="K911" s="39" t="n">
        <v>5</v>
      </c>
    </row>
    <row r="912" customFormat="false" ht="15" hidden="false" customHeight="false" outlineLevel="0" collapsed="false">
      <c r="A912" s="39" t="s">
        <v>1022</v>
      </c>
      <c r="B912" s="40" t="n">
        <v>46275</v>
      </c>
      <c r="C912" s="39" t="s">
        <v>52</v>
      </c>
      <c r="D912" s="39" t="s">
        <v>39</v>
      </c>
      <c r="E912" s="39" t="s">
        <v>105</v>
      </c>
      <c r="F912" s="39" t="n">
        <v>1</v>
      </c>
      <c r="G912" s="41" t="n">
        <v>498</v>
      </c>
      <c r="H912" s="42" t="n">
        <f aca="false">F912*G912</f>
        <v>498</v>
      </c>
      <c r="I912" s="39" t="s">
        <v>36</v>
      </c>
      <c r="J912" s="39" t="s">
        <v>47</v>
      </c>
      <c r="K912" s="39"/>
    </row>
    <row r="913" customFormat="false" ht="15" hidden="false" customHeight="false" outlineLevel="0" collapsed="false">
      <c r="A913" s="39" t="s">
        <v>1023</v>
      </c>
      <c r="B913" s="40" t="n">
        <v>46275</v>
      </c>
      <c r="C913" s="39" t="s">
        <v>50</v>
      </c>
      <c r="D913" s="39" t="s">
        <v>37</v>
      </c>
      <c r="E913" s="39" t="s">
        <v>97</v>
      </c>
      <c r="F913" s="39" t="n">
        <v>1</v>
      </c>
      <c r="G913" s="41" t="n">
        <v>638</v>
      </c>
      <c r="H913" s="42" t="n">
        <f aca="false">F913*G913</f>
        <v>638</v>
      </c>
      <c r="I913" s="39" t="s">
        <v>36</v>
      </c>
      <c r="J913" s="39" t="s">
        <v>43</v>
      </c>
      <c r="K913" s="39" t="n">
        <v>3</v>
      </c>
    </row>
    <row r="914" customFormat="false" ht="15" hidden="false" customHeight="false" outlineLevel="0" collapsed="false">
      <c r="A914" s="39" t="s">
        <v>1024</v>
      </c>
      <c r="B914" s="40" t="n">
        <v>46275</v>
      </c>
      <c r="C914" s="39" t="s">
        <v>50</v>
      </c>
      <c r="D914" s="39" t="s">
        <v>33</v>
      </c>
      <c r="E914" s="39" t="s">
        <v>114</v>
      </c>
      <c r="F914" s="39" t="n">
        <v>1</v>
      </c>
      <c r="G914" s="41" t="n">
        <v>608</v>
      </c>
      <c r="H914" s="42" t="n">
        <f aca="false">F914*G914</f>
        <v>608</v>
      </c>
      <c r="I914" s="39" t="s">
        <v>34</v>
      </c>
      <c r="J914" s="39" t="s">
        <v>42</v>
      </c>
      <c r="K914" s="39" t="n">
        <v>6</v>
      </c>
    </row>
    <row r="915" customFormat="false" ht="15" hidden="false" customHeight="false" outlineLevel="0" collapsed="false">
      <c r="A915" s="39" t="s">
        <v>1025</v>
      </c>
      <c r="B915" s="40" t="n">
        <v>46275</v>
      </c>
      <c r="C915" s="39" t="s">
        <v>101</v>
      </c>
      <c r="D915" s="39" t="s">
        <v>33</v>
      </c>
      <c r="E915" s="39" t="s">
        <v>117</v>
      </c>
      <c r="F915" s="39" t="n">
        <v>2</v>
      </c>
      <c r="G915" s="41" t="n">
        <v>418</v>
      </c>
      <c r="H915" s="42" t="n">
        <f aca="false">F915*G915</f>
        <v>836</v>
      </c>
      <c r="I915" s="39" t="s">
        <v>34</v>
      </c>
      <c r="J915" s="39" t="s">
        <v>42</v>
      </c>
      <c r="K915" s="39" t="n">
        <v>3</v>
      </c>
    </row>
    <row r="916" customFormat="false" ht="15" hidden="false" customHeight="false" outlineLevel="0" collapsed="false">
      <c r="A916" s="39" t="s">
        <v>1026</v>
      </c>
      <c r="B916" s="40" t="n">
        <v>46276</v>
      </c>
      <c r="C916" s="39" t="s">
        <v>48</v>
      </c>
      <c r="D916" s="39" t="s">
        <v>35</v>
      </c>
      <c r="E916" s="39" t="s">
        <v>159</v>
      </c>
      <c r="F916" s="39" t="n">
        <v>1</v>
      </c>
      <c r="G916" s="41" t="n">
        <v>788</v>
      </c>
      <c r="H916" s="42" t="n">
        <f aca="false">F916*G916</f>
        <v>788</v>
      </c>
      <c r="I916" s="39" t="s">
        <v>36</v>
      </c>
      <c r="J916" s="39" t="s">
        <v>42</v>
      </c>
      <c r="K916" s="39" t="n">
        <v>2</v>
      </c>
    </row>
    <row r="917" customFormat="false" ht="15" hidden="false" customHeight="false" outlineLevel="0" collapsed="false">
      <c r="A917" s="39" t="s">
        <v>1027</v>
      </c>
      <c r="B917" s="40" t="n">
        <v>46276</v>
      </c>
      <c r="C917" s="39" t="s">
        <v>101</v>
      </c>
      <c r="D917" s="39" t="s">
        <v>37</v>
      </c>
      <c r="E917" s="39" t="s">
        <v>131</v>
      </c>
      <c r="F917" s="39" t="n">
        <v>1</v>
      </c>
      <c r="G917" s="41" t="n">
        <v>508</v>
      </c>
      <c r="H917" s="42" t="n">
        <f aca="false">F917*G917</f>
        <v>508</v>
      </c>
      <c r="I917" s="39" t="s">
        <v>36</v>
      </c>
      <c r="J917" s="39" t="s">
        <v>42</v>
      </c>
      <c r="K917" s="39" t="n">
        <v>3</v>
      </c>
    </row>
    <row r="918" customFormat="false" ht="15" hidden="false" customHeight="false" outlineLevel="0" collapsed="false">
      <c r="A918" s="39" t="s">
        <v>1028</v>
      </c>
      <c r="B918" s="40" t="n">
        <v>46276</v>
      </c>
      <c r="C918" s="39" t="s">
        <v>109</v>
      </c>
      <c r="D918" s="39" t="s">
        <v>35</v>
      </c>
      <c r="E918" s="39" t="s">
        <v>159</v>
      </c>
      <c r="F918" s="39" t="n">
        <v>1</v>
      </c>
      <c r="G918" s="41" t="n">
        <v>308</v>
      </c>
      <c r="H918" s="42" t="n">
        <f aca="false">F918*G918</f>
        <v>308</v>
      </c>
      <c r="I918" s="39" t="s">
        <v>36</v>
      </c>
      <c r="J918" s="39" t="s">
        <v>42</v>
      </c>
      <c r="K918" s="39" t="n">
        <v>4</v>
      </c>
    </row>
    <row r="919" customFormat="false" ht="15" hidden="false" customHeight="false" outlineLevel="0" collapsed="false">
      <c r="A919" s="39" t="s">
        <v>1029</v>
      </c>
      <c r="B919" s="40" t="n">
        <v>46276</v>
      </c>
      <c r="C919" s="39" t="s">
        <v>50</v>
      </c>
      <c r="D919" s="39" t="s">
        <v>37</v>
      </c>
      <c r="E919" s="39" t="s">
        <v>97</v>
      </c>
      <c r="F919" s="39" t="n">
        <v>2</v>
      </c>
      <c r="G919" s="41" t="n">
        <v>328</v>
      </c>
      <c r="H919" s="42" t="n">
        <f aca="false">F919*G919</f>
        <v>656</v>
      </c>
      <c r="I919" s="39" t="s">
        <v>34</v>
      </c>
      <c r="J919" s="39" t="s">
        <v>42</v>
      </c>
      <c r="K919" s="39" t="n">
        <v>5</v>
      </c>
    </row>
    <row r="920" customFormat="false" ht="15" hidden="false" customHeight="false" outlineLevel="0" collapsed="false">
      <c r="A920" s="39" t="s">
        <v>1030</v>
      </c>
      <c r="B920" s="40" t="n">
        <v>46276</v>
      </c>
      <c r="C920" s="39" t="s">
        <v>48</v>
      </c>
      <c r="D920" s="39" t="s">
        <v>35</v>
      </c>
      <c r="E920" s="39" t="s">
        <v>95</v>
      </c>
      <c r="F920" s="39" t="n">
        <v>2</v>
      </c>
      <c r="G920" s="41" t="n">
        <v>598</v>
      </c>
      <c r="H920" s="42" t="n">
        <f aca="false">F920*G920</f>
        <v>1196</v>
      </c>
      <c r="I920" s="39" t="s">
        <v>34</v>
      </c>
      <c r="J920" s="39" t="s">
        <v>42</v>
      </c>
      <c r="K920" s="39" t="n">
        <v>6</v>
      </c>
    </row>
    <row r="921" customFormat="false" ht="15" hidden="false" customHeight="false" outlineLevel="0" collapsed="false">
      <c r="A921" s="39" t="s">
        <v>1031</v>
      </c>
      <c r="B921" s="40" t="n">
        <v>46276</v>
      </c>
      <c r="C921" s="39" t="s">
        <v>53</v>
      </c>
      <c r="D921" s="39" t="s">
        <v>35</v>
      </c>
      <c r="E921" s="39" t="s">
        <v>159</v>
      </c>
      <c r="F921" s="39" t="n">
        <v>1</v>
      </c>
      <c r="G921" s="41" t="n">
        <v>698</v>
      </c>
      <c r="H921" s="42" t="n">
        <f aca="false">F921*G921</f>
        <v>698</v>
      </c>
      <c r="I921" s="39" t="s">
        <v>34</v>
      </c>
      <c r="J921" s="39" t="s">
        <v>43</v>
      </c>
      <c r="K921" s="39" t="n">
        <v>5</v>
      </c>
    </row>
    <row r="922" customFormat="false" ht="15" hidden="false" customHeight="false" outlineLevel="0" collapsed="false">
      <c r="A922" s="39" t="s">
        <v>1032</v>
      </c>
      <c r="B922" s="40" t="n">
        <v>46276</v>
      </c>
      <c r="C922" s="39" t="s">
        <v>49</v>
      </c>
      <c r="D922" s="39" t="s">
        <v>39</v>
      </c>
      <c r="E922" s="39" t="s">
        <v>99</v>
      </c>
      <c r="F922" s="39" t="n">
        <v>1</v>
      </c>
      <c r="G922" s="41" t="n">
        <v>1008</v>
      </c>
      <c r="H922" s="42" t="n">
        <f aca="false">F922*G922</f>
        <v>1008</v>
      </c>
      <c r="I922" s="39" t="s">
        <v>34</v>
      </c>
      <c r="J922" s="39" t="s">
        <v>43</v>
      </c>
      <c r="K922" s="39" t="n">
        <v>3</v>
      </c>
    </row>
    <row r="923" customFormat="false" ht="15" hidden="false" customHeight="false" outlineLevel="0" collapsed="false">
      <c r="A923" s="39" t="s">
        <v>1033</v>
      </c>
      <c r="B923" s="40" t="n">
        <v>46276</v>
      </c>
      <c r="C923" s="39" t="s">
        <v>48</v>
      </c>
      <c r="D923" s="39" t="s">
        <v>37</v>
      </c>
      <c r="E923" s="39" t="s">
        <v>141</v>
      </c>
      <c r="F923" s="39" t="n">
        <v>1</v>
      </c>
      <c r="G923" s="41" t="n">
        <v>448</v>
      </c>
      <c r="H923" s="42" t="n">
        <f aca="false">F923*G923</f>
        <v>448</v>
      </c>
      <c r="I923" s="39" t="s">
        <v>34</v>
      </c>
      <c r="J923" s="39" t="s">
        <v>42</v>
      </c>
      <c r="K923" s="39" t="n">
        <v>2</v>
      </c>
    </row>
    <row r="924" customFormat="false" ht="15" hidden="false" customHeight="false" outlineLevel="0" collapsed="false">
      <c r="A924" s="39" t="s">
        <v>1034</v>
      </c>
      <c r="B924" s="40" t="n">
        <v>46276</v>
      </c>
      <c r="C924" s="39" t="s">
        <v>53</v>
      </c>
      <c r="D924" s="39" t="s">
        <v>33</v>
      </c>
      <c r="E924" s="39" t="s">
        <v>117</v>
      </c>
      <c r="F924" s="39" t="n">
        <v>1</v>
      </c>
      <c r="G924" s="41" t="n">
        <v>788</v>
      </c>
      <c r="H924" s="42" t="n">
        <f aca="false">F924*G924</f>
        <v>788</v>
      </c>
      <c r="I924" s="39" t="s">
        <v>34</v>
      </c>
      <c r="J924" s="39" t="s">
        <v>42</v>
      </c>
      <c r="K924" s="39" t="n">
        <v>3</v>
      </c>
    </row>
    <row r="925" customFormat="false" ht="15" hidden="false" customHeight="false" outlineLevel="0" collapsed="false">
      <c r="A925" s="39" t="s">
        <v>1035</v>
      </c>
      <c r="B925" s="40" t="n">
        <v>46276</v>
      </c>
      <c r="C925" s="39" t="s">
        <v>49</v>
      </c>
      <c r="D925" s="39" t="s">
        <v>38</v>
      </c>
      <c r="E925" s="39" t="s">
        <v>121</v>
      </c>
      <c r="F925" s="39" t="n">
        <v>1</v>
      </c>
      <c r="G925" s="41" t="n">
        <v>498</v>
      </c>
      <c r="H925" s="42" t="n">
        <f aca="false">F925*G925</f>
        <v>498</v>
      </c>
      <c r="I925" s="39" t="s">
        <v>34</v>
      </c>
      <c r="J925" s="39" t="s">
        <v>42</v>
      </c>
      <c r="K925" s="39" t="n">
        <v>3</v>
      </c>
    </row>
    <row r="926" customFormat="false" ht="15" hidden="false" customHeight="false" outlineLevel="0" collapsed="false">
      <c r="A926" s="39" t="s">
        <v>1036</v>
      </c>
      <c r="B926" s="40" t="n">
        <v>46276</v>
      </c>
      <c r="C926" s="39" t="s">
        <v>50</v>
      </c>
      <c r="D926" s="39" t="s">
        <v>33</v>
      </c>
      <c r="E926" s="39" t="s">
        <v>102</v>
      </c>
      <c r="F926" s="39" t="n">
        <v>2</v>
      </c>
      <c r="G926" s="41" t="n">
        <v>758</v>
      </c>
      <c r="H926" s="42" t="n">
        <f aca="false">F926*G926</f>
        <v>1516</v>
      </c>
      <c r="I926" s="39" t="s">
        <v>36</v>
      </c>
      <c r="J926" s="39" t="s">
        <v>47</v>
      </c>
      <c r="K926" s="39"/>
    </row>
    <row r="927" customFormat="false" ht="15" hidden="false" customHeight="false" outlineLevel="0" collapsed="false">
      <c r="A927" s="39" t="s">
        <v>1037</v>
      </c>
      <c r="B927" s="40" t="n">
        <v>46276</v>
      </c>
      <c r="C927" s="39" t="s">
        <v>49</v>
      </c>
      <c r="D927" s="39" t="s">
        <v>33</v>
      </c>
      <c r="E927" s="39" t="s">
        <v>102</v>
      </c>
      <c r="F927" s="39" t="n">
        <v>2</v>
      </c>
      <c r="G927" s="41" t="n">
        <v>788</v>
      </c>
      <c r="H927" s="42" t="n">
        <f aca="false">F927*G927</f>
        <v>1576</v>
      </c>
      <c r="I927" s="39" t="s">
        <v>36</v>
      </c>
      <c r="J927" s="39" t="s">
        <v>42</v>
      </c>
      <c r="K927" s="39" t="n">
        <v>3</v>
      </c>
    </row>
    <row r="928" customFormat="false" ht="15" hidden="false" customHeight="false" outlineLevel="0" collapsed="false">
      <c r="A928" s="39" t="s">
        <v>1038</v>
      </c>
      <c r="B928" s="40" t="n">
        <v>46276</v>
      </c>
      <c r="C928" s="39" t="s">
        <v>109</v>
      </c>
      <c r="D928" s="39" t="s">
        <v>33</v>
      </c>
      <c r="E928" s="39" t="s">
        <v>136</v>
      </c>
      <c r="F928" s="39" t="n">
        <v>1</v>
      </c>
      <c r="G928" s="41" t="n">
        <v>448</v>
      </c>
      <c r="H928" s="42" t="n">
        <f aca="false">F928*G928</f>
        <v>448</v>
      </c>
      <c r="I928" s="39" t="s">
        <v>34</v>
      </c>
      <c r="J928" s="39" t="s">
        <v>42</v>
      </c>
      <c r="K928" s="39" t="n">
        <v>4</v>
      </c>
    </row>
    <row r="929" customFormat="false" ht="15" hidden="false" customHeight="false" outlineLevel="0" collapsed="false">
      <c r="A929" s="39" t="s">
        <v>1039</v>
      </c>
      <c r="B929" s="40" t="n">
        <v>46277</v>
      </c>
      <c r="C929" s="39" t="s">
        <v>52</v>
      </c>
      <c r="D929" s="39" t="s">
        <v>35</v>
      </c>
      <c r="E929" s="39" t="s">
        <v>95</v>
      </c>
      <c r="F929" s="39" t="n">
        <v>1</v>
      </c>
      <c r="G929" s="41" t="n">
        <v>538</v>
      </c>
      <c r="H929" s="42" t="n">
        <f aca="false">F929*G929</f>
        <v>538</v>
      </c>
      <c r="I929" s="39" t="s">
        <v>36</v>
      </c>
      <c r="J929" s="39" t="s">
        <v>47</v>
      </c>
      <c r="K929" s="39"/>
    </row>
    <row r="930" customFormat="false" ht="15" hidden="false" customHeight="false" outlineLevel="0" collapsed="false">
      <c r="A930" s="39" t="s">
        <v>1040</v>
      </c>
      <c r="B930" s="40" t="n">
        <v>46277</v>
      </c>
      <c r="C930" s="39" t="s">
        <v>50</v>
      </c>
      <c r="D930" s="39" t="s">
        <v>37</v>
      </c>
      <c r="E930" s="39" t="s">
        <v>97</v>
      </c>
      <c r="F930" s="39" t="n">
        <v>2</v>
      </c>
      <c r="G930" s="41" t="n">
        <v>648</v>
      </c>
      <c r="H930" s="42" t="n">
        <f aca="false">F930*G930</f>
        <v>1296</v>
      </c>
      <c r="I930" s="39" t="s">
        <v>34</v>
      </c>
      <c r="J930" s="39" t="s">
        <v>42</v>
      </c>
      <c r="K930" s="39" t="n">
        <v>5</v>
      </c>
    </row>
    <row r="931" customFormat="false" ht="15" hidden="false" customHeight="false" outlineLevel="0" collapsed="false">
      <c r="A931" s="39" t="s">
        <v>1041</v>
      </c>
      <c r="B931" s="40" t="n">
        <v>46277</v>
      </c>
      <c r="C931" s="39" t="s">
        <v>101</v>
      </c>
      <c r="D931" s="39" t="s">
        <v>33</v>
      </c>
      <c r="E931" s="39" t="s">
        <v>114</v>
      </c>
      <c r="F931" s="39" t="n">
        <v>1</v>
      </c>
      <c r="G931" s="41" t="n">
        <v>508</v>
      </c>
      <c r="H931" s="42" t="n">
        <f aca="false">F931*G931</f>
        <v>508</v>
      </c>
      <c r="I931" s="39" t="s">
        <v>34</v>
      </c>
      <c r="J931" s="39" t="s">
        <v>42</v>
      </c>
      <c r="K931" s="39" t="n">
        <v>4</v>
      </c>
    </row>
    <row r="932" customFormat="false" ht="15" hidden="false" customHeight="false" outlineLevel="0" collapsed="false">
      <c r="A932" s="39" t="s">
        <v>1042</v>
      </c>
      <c r="B932" s="40" t="n">
        <v>46277</v>
      </c>
      <c r="C932" s="39" t="s">
        <v>109</v>
      </c>
      <c r="D932" s="39" t="s">
        <v>39</v>
      </c>
      <c r="E932" s="39" t="s">
        <v>105</v>
      </c>
      <c r="F932" s="39" t="n">
        <v>1</v>
      </c>
      <c r="G932" s="41" t="n">
        <v>658</v>
      </c>
      <c r="H932" s="42" t="n">
        <f aca="false">F932*G932</f>
        <v>658</v>
      </c>
      <c r="I932" s="39" t="s">
        <v>34</v>
      </c>
      <c r="J932" s="39" t="s">
        <v>42</v>
      </c>
      <c r="K932" s="39" t="n">
        <v>3</v>
      </c>
    </row>
    <row r="933" customFormat="false" ht="15" hidden="false" customHeight="false" outlineLevel="0" collapsed="false">
      <c r="A933" s="39" t="s">
        <v>1043</v>
      </c>
      <c r="B933" s="40" t="n">
        <v>46277</v>
      </c>
      <c r="C933" s="39" t="s">
        <v>52</v>
      </c>
      <c r="D933" s="39" t="s">
        <v>37</v>
      </c>
      <c r="E933" s="39" t="s">
        <v>141</v>
      </c>
      <c r="F933" s="39" t="n">
        <v>2</v>
      </c>
      <c r="G933" s="41" t="n">
        <v>598</v>
      </c>
      <c r="H933" s="42" t="n">
        <f aca="false">F933*G933</f>
        <v>1196</v>
      </c>
      <c r="I933" s="39" t="s">
        <v>34</v>
      </c>
      <c r="J933" s="39" t="s">
        <v>42</v>
      </c>
      <c r="K933" s="39" t="n">
        <v>2</v>
      </c>
    </row>
    <row r="934" customFormat="false" ht="15" hidden="false" customHeight="false" outlineLevel="0" collapsed="false">
      <c r="A934" s="39" t="s">
        <v>1044</v>
      </c>
      <c r="B934" s="40" t="n">
        <v>46277</v>
      </c>
      <c r="C934" s="39" t="s">
        <v>49</v>
      </c>
      <c r="D934" s="39" t="s">
        <v>35</v>
      </c>
      <c r="E934" s="39" t="s">
        <v>159</v>
      </c>
      <c r="F934" s="39" t="n">
        <v>1</v>
      </c>
      <c r="G934" s="41" t="n">
        <v>638</v>
      </c>
      <c r="H934" s="42" t="n">
        <f aca="false">F934*G934</f>
        <v>638</v>
      </c>
      <c r="I934" s="39" t="s">
        <v>34</v>
      </c>
      <c r="J934" s="39" t="s">
        <v>42</v>
      </c>
      <c r="K934" s="39" t="n">
        <v>2</v>
      </c>
    </row>
    <row r="935" customFormat="false" ht="15" hidden="false" customHeight="false" outlineLevel="0" collapsed="false">
      <c r="A935" s="39" t="s">
        <v>1045</v>
      </c>
      <c r="B935" s="40" t="n">
        <v>46277</v>
      </c>
      <c r="C935" s="39" t="s">
        <v>53</v>
      </c>
      <c r="D935" s="39" t="s">
        <v>38</v>
      </c>
      <c r="E935" s="39" t="s">
        <v>110</v>
      </c>
      <c r="F935" s="39" t="n">
        <v>1</v>
      </c>
      <c r="G935" s="41" t="n">
        <v>408</v>
      </c>
      <c r="H935" s="42" t="n">
        <f aca="false">F935*G935</f>
        <v>408</v>
      </c>
      <c r="I935" s="39" t="s">
        <v>34</v>
      </c>
      <c r="J935" s="39" t="s">
        <v>42</v>
      </c>
      <c r="K935" s="39" t="n">
        <v>3</v>
      </c>
    </row>
    <row r="936" customFormat="false" ht="15" hidden="false" customHeight="false" outlineLevel="0" collapsed="false">
      <c r="A936" s="39" t="s">
        <v>1046</v>
      </c>
      <c r="B936" s="40" t="n">
        <v>46277</v>
      </c>
      <c r="C936" s="39" t="s">
        <v>48</v>
      </c>
      <c r="D936" s="39" t="s">
        <v>33</v>
      </c>
      <c r="E936" s="39" t="s">
        <v>136</v>
      </c>
      <c r="F936" s="39" t="n">
        <v>1</v>
      </c>
      <c r="G936" s="41" t="n">
        <v>758</v>
      </c>
      <c r="H936" s="42" t="n">
        <f aca="false">F936*G936</f>
        <v>758</v>
      </c>
      <c r="I936" s="39" t="s">
        <v>36</v>
      </c>
      <c r="J936" s="39" t="s">
        <v>42</v>
      </c>
      <c r="K936" s="39" t="n">
        <v>3</v>
      </c>
    </row>
    <row r="937" customFormat="false" ht="15" hidden="false" customHeight="false" outlineLevel="0" collapsed="false">
      <c r="A937" s="39" t="s">
        <v>1047</v>
      </c>
      <c r="B937" s="40" t="n">
        <v>46277</v>
      </c>
      <c r="C937" s="39" t="s">
        <v>50</v>
      </c>
      <c r="D937" s="39" t="s">
        <v>33</v>
      </c>
      <c r="E937" s="39" t="s">
        <v>117</v>
      </c>
      <c r="F937" s="39" t="n">
        <v>2</v>
      </c>
      <c r="G937" s="41" t="n">
        <v>398</v>
      </c>
      <c r="H937" s="42" t="n">
        <f aca="false">F937*G937</f>
        <v>796</v>
      </c>
      <c r="I937" s="39" t="s">
        <v>34</v>
      </c>
      <c r="J937" s="39" t="s">
        <v>42</v>
      </c>
      <c r="K937" s="39" t="n">
        <v>3</v>
      </c>
    </row>
    <row r="938" customFormat="false" ht="15" hidden="false" customHeight="false" outlineLevel="0" collapsed="false">
      <c r="A938" s="39" t="s">
        <v>1048</v>
      </c>
      <c r="B938" s="40" t="n">
        <v>46277</v>
      </c>
      <c r="C938" s="39" t="s">
        <v>50</v>
      </c>
      <c r="D938" s="39" t="s">
        <v>33</v>
      </c>
      <c r="E938" s="39" t="s">
        <v>136</v>
      </c>
      <c r="F938" s="39" t="n">
        <v>1</v>
      </c>
      <c r="G938" s="41" t="n">
        <v>338</v>
      </c>
      <c r="H938" s="42" t="n">
        <f aca="false">F938*G938</f>
        <v>338</v>
      </c>
      <c r="I938" s="39" t="s">
        <v>36</v>
      </c>
      <c r="J938" s="39" t="s">
        <v>42</v>
      </c>
      <c r="K938" s="39" t="n">
        <v>5</v>
      </c>
    </row>
    <row r="939" customFormat="false" ht="15" hidden="false" customHeight="false" outlineLevel="0" collapsed="false">
      <c r="A939" s="39" t="s">
        <v>1049</v>
      </c>
      <c r="B939" s="40" t="n">
        <v>46277</v>
      </c>
      <c r="C939" s="39" t="s">
        <v>109</v>
      </c>
      <c r="D939" s="39" t="s">
        <v>33</v>
      </c>
      <c r="E939" s="39" t="s">
        <v>102</v>
      </c>
      <c r="F939" s="39" t="n">
        <v>1</v>
      </c>
      <c r="G939" s="41" t="n">
        <v>478</v>
      </c>
      <c r="H939" s="42" t="n">
        <f aca="false">F939*G939</f>
        <v>478</v>
      </c>
      <c r="I939" s="39" t="s">
        <v>34</v>
      </c>
      <c r="J939" s="39" t="s">
        <v>42</v>
      </c>
      <c r="K939" s="39" t="n">
        <v>4</v>
      </c>
    </row>
    <row r="940" customFormat="false" ht="15" hidden="false" customHeight="false" outlineLevel="0" collapsed="false">
      <c r="A940" s="39" t="s">
        <v>1050</v>
      </c>
      <c r="B940" s="40" t="n">
        <v>46277</v>
      </c>
      <c r="C940" s="39" t="s">
        <v>48</v>
      </c>
      <c r="D940" s="39" t="s">
        <v>33</v>
      </c>
      <c r="E940" s="39" t="s">
        <v>117</v>
      </c>
      <c r="F940" s="39" t="n">
        <v>2</v>
      </c>
      <c r="G940" s="41" t="n">
        <v>558</v>
      </c>
      <c r="H940" s="42" t="n">
        <f aca="false">F940*G940</f>
        <v>1116</v>
      </c>
      <c r="I940" s="39" t="s">
        <v>34</v>
      </c>
      <c r="J940" s="39" t="s">
        <v>47</v>
      </c>
      <c r="K940" s="39"/>
    </row>
    <row r="941" customFormat="false" ht="15" hidden="false" customHeight="false" outlineLevel="0" collapsed="false">
      <c r="A941" s="39" t="s">
        <v>1051</v>
      </c>
      <c r="B941" s="40" t="n">
        <v>46277</v>
      </c>
      <c r="C941" s="39" t="s">
        <v>50</v>
      </c>
      <c r="D941" s="39" t="s">
        <v>35</v>
      </c>
      <c r="E941" s="39" t="s">
        <v>95</v>
      </c>
      <c r="F941" s="39" t="n">
        <v>1</v>
      </c>
      <c r="G941" s="41" t="n">
        <v>258</v>
      </c>
      <c r="H941" s="42" t="n">
        <f aca="false">F941*G941</f>
        <v>258</v>
      </c>
      <c r="I941" s="39" t="s">
        <v>36</v>
      </c>
      <c r="J941" s="39" t="s">
        <v>42</v>
      </c>
      <c r="K941" s="39" t="n">
        <v>3</v>
      </c>
    </row>
    <row r="942" customFormat="false" ht="15" hidden="false" customHeight="false" outlineLevel="0" collapsed="false">
      <c r="A942" s="39" t="s">
        <v>1052</v>
      </c>
      <c r="B942" s="40" t="n">
        <v>46277</v>
      </c>
      <c r="C942" s="39" t="s">
        <v>50</v>
      </c>
      <c r="D942" s="39" t="s">
        <v>38</v>
      </c>
      <c r="E942" s="39" t="s">
        <v>110</v>
      </c>
      <c r="F942" s="39" t="n">
        <v>3</v>
      </c>
      <c r="G942" s="41" t="n">
        <v>768</v>
      </c>
      <c r="H942" s="42" t="n">
        <f aca="false">F942*G942</f>
        <v>2304</v>
      </c>
      <c r="I942" s="39" t="s">
        <v>34</v>
      </c>
      <c r="J942" s="39" t="s">
        <v>42</v>
      </c>
      <c r="K942" s="39" t="n">
        <v>3</v>
      </c>
    </row>
    <row r="943" customFormat="false" ht="15" hidden="false" customHeight="false" outlineLevel="0" collapsed="false">
      <c r="A943" s="39" t="s">
        <v>1053</v>
      </c>
      <c r="B943" s="40" t="n">
        <v>46278</v>
      </c>
      <c r="C943" s="39" t="s">
        <v>101</v>
      </c>
      <c r="D943" s="39" t="s">
        <v>39</v>
      </c>
      <c r="E943" s="39" t="s">
        <v>129</v>
      </c>
      <c r="F943" s="39" t="n">
        <v>1</v>
      </c>
      <c r="G943" s="41" t="n">
        <v>688</v>
      </c>
      <c r="H943" s="42" t="n">
        <f aca="false">F943*G943</f>
        <v>688</v>
      </c>
      <c r="I943" s="39" t="s">
        <v>34</v>
      </c>
      <c r="J943" s="39" t="s">
        <v>42</v>
      </c>
      <c r="K943" s="39" t="n">
        <v>5</v>
      </c>
    </row>
    <row r="944" customFormat="false" ht="15" hidden="false" customHeight="false" outlineLevel="0" collapsed="false">
      <c r="A944" s="39" t="s">
        <v>1054</v>
      </c>
      <c r="B944" s="40" t="n">
        <v>46278</v>
      </c>
      <c r="C944" s="39" t="s">
        <v>48</v>
      </c>
      <c r="D944" s="39" t="s">
        <v>35</v>
      </c>
      <c r="E944" s="39" t="s">
        <v>159</v>
      </c>
      <c r="F944" s="39" t="n">
        <v>1</v>
      </c>
      <c r="G944" s="41" t="n">
        <v>478</v>
      </c>
      <c r="H944" s="42" t="n">
        <f aca="false">F944*G944</f>
        <v>478</v>
      </c>
      <c r="I944" s="39" t="s">
        <v>36</v>
      </c>
      <c r="J944" s="39" t="s">
        <v>42</v>
      </c>
      <c r="K944" s="39" t="n">
        <v>4</v>
      </c>
    </row>
    <row r="945" customFormat="false" ht="15" hidden="false" customHeight="false" outlineLevel="0" collapsed="false">
      <c r="A945" s="39" t="s">
        <v>1055</v>
      </c>
      <c r="B945" s="40" t="n">
        <v>46278</v>
      </c>
      <c r="C945" s="39" t="s">
        <v>53</v>
      </c>
      <c r="D945" s="39" t="s">
        <v>35</v>
      </c>
      <c r="E945" s="39" t="s">
        <v>125</v>
      </c>
      <c r="F945" s="39" t="n">
        <v>1</v>
      </c>
      <c r="G945" s="41" t="n">
        <v>498</v>
      </c>
      <c r="H945" s="42" t="n">
        <f aca="false">F945*G945</f>
        <v>498</v>
      </c>
      <c r="I945" s="39" t="s">
        <v>34</v>
      </c>
      <c r="J945" s="39" t="s">
        <v>42</v>
      </c>
      <c r="K945" s="39" t="n">
        <v>4</v>
      </c>
    </row>
    <row r="946" customFormat="false" ht="15" hidden="false" customHeight="false" outlineLevel="0" collapsed="false">
      <c r="A946" s="39" t="s">
        <v>1056</v>
      </c>
      <c r="B946" s="40" t="n">
        <v>46278</v>
      </c>
      <c r="C946" s="39" t="s">
        <v>101</v>
      </c>
      <c r="D946" s="39" t="s">
        <v>33</v>
      </c>
      <c r="E946" s="39" t="s">
        <v>136</v>
      </c>
      <c r="F946" s="39" t="n">
        <v>1</v>
      </c>
      <c r="G946" s="41" t="n">
        <v>628</v>
      </c>
      <c r="H946" s="42" t="n">
        <f aca="false">F946*G946</f>
        <v>628</v>
      </c>
      <c r="I946" s="39" t="s">
        <v>34</v>
      </c>
      <c r="J946" s="39" t="s">
        <v>42</v>
      </c>
      <c r="K946" s="39" t="n">
        <v>4</v>
      </c>
    </row>
    <row r="947" customFormat="false" ht="15" hidden="false" customHeight="false" outlineLevel="0" collapsed="false">
      <c r="A947" s="39" t="s">
        <v>1057</v>
      </c>
      <c r="B947" s="40" t="n">
        <v>46278</v>
      </c>
      <c r="C947" s="39" t="s">
        <v>50</v>
      </c>
      <c r="D947" s="39" t="s">
        <v>33</v>
      </c>
      <c r="E947" s="39" t="s">
        <v>117</v>
      </c>
      <c r="F947" s="39" t="n">
        <v>1</v>
      </c>
      <c r="G947" s="41" t="n">
        <v>598</v>
      </c>
      <c r="H947" s="42" t="n">
        <f aca="false">F947*G947</f>
        <v>598</v>
      </c>
      <c r="I947" s="39" t="s">
        <v>34</v>
      </c>
      <c r="J947" s="39" t="s">
        <v>47</v>
      </c>
      <c r="K947" s="39"/>
    </row>
    <row r="948" customFormat="false" ht="15" hidden="false" customHeight="false" outlineLevel="0" collapsed="false">
      <c r="A948" s="39" t="s">
        <v>1058</v>
      </c>
      <c r="B948" s="40" t="n">
        <v>46278</v>
      </c>
      <c r="C948" s="39" t="s">
        <v>50</v>
      </c>
      <c r="D948" s="39" t="s">
        <v>35</v>
      </c>
      <c r="E948" s="39" t="s">
        <v>159</v>
      </c>
      <c r="F948" s="39" t="n">
        <v>1</v>
      </c>
      <c r="G948" s="41" t="n">
        <v>728</v>
      </c>
      <c r="H948" s="42" t="n">
        <f aca="false">F948*G948</f>
        <v>728</v>
      </c>
      <c r="I948" s="39" t="s">
        <v>36</v>
      </c>
      <c r="J948" s="39" t="s">
        <v>42</v>
      </c>
      <c r="K948" s="39" t="n">
        <v>4</v>
      </c>
    </row>
    <row r="949" customFormat="false" ht="15" hidden="false" customHeight="false" outlineLevel="0" collapsed="false">
      <c r="A949" s="39" t="s">
        <v>1059</v>
      </c>
      <c r="B949" s="40" t="n">
        <v>46278</v>
      </c>
      <c r="C949" s="39" t="s">
        <v>53</v>
      </c>
      <c r="D949" s="39" t="s">
        <v>37</v>
      </c>
      <c r="E949" s="39" t="s">
        <v>141</v>
      </c>
      <c r="F949" s="39" t="n">
        <v>1</v>
      </c>
      <c r="G949" s="41" t="n">
        <v>628</v>
      </c>
      <c r="H949" s="42" t="n">
        <f aca="false">F949*G949</f>
        <v>628</v>
      </c>
      <c r="I949" s="39" t="s">
        <v>36</v>
      </c>
      <c r="J949" s="39" t="s">
        <v>42</v>
      </c>
      <c r="K949" s="39" t="n">
        <v>6</v>
      </c>
    </row>
    <row r="950" customFormat="false" ht="15" hidden="false" customHeight="false" outlineLevel="0" collapsed="false">
      <c r="A950" s="39" t="s">
        <v>1060</v>
      </c>
      <c r="B950" s="40" t="n">
        <v>46278</v>
      </c>
      <c r="C950" s="39" t="s">
        <v>52</v>
      </c>
      <c r="D950" s="39" t="s">
        <v>37</v>
      </c>
      <c r="E950" s="39" t="s">
        <v>141</v>
      </c>
      <c r="F950" s="39" t="n">
        <v>1</v>
      </c>
      <c r="G950" s="41" t="n">
        <v>558</v>
      </c>
      <c r="H950" s="42" t="n">
        <f aca="false">F950*G950</f>
        <v>558</v>
      </c>
      <c r="I950" s="39" t="s">
        <v>34</v>
      </c>
      <c r="J950" s="39" t="s">
        <v>42</v>
      </c>
      <c r="K950" s="39" t="n">
        <v>4</v>
      </c>
    </row>
    <row r="951" customFormat="false" ht="15" hidden="false" customHeight="false" outlineLevel="0" collapsed="false">
      <c r="A951" s="39" t="s">
        <v>1061</v>
      </c>
      <c r="B951" s="40" t="n">
        <v>46278</v>
      </c>
      <c r="C951" s="39" t="s">
        <v>48</v>
      </c>
      <c r="D951" s="39" t="s">
        <v>37</v>
      </c>
      <c r="E951" s="39" t="s">
        <v>141</v>
      </c>
      <c r="F951" s="39" t="n">
        <v>2</v>
      </c>
      <c r="G951" s="41" t="n">
        <v>538</v>
      </c>
      <c r="H951" s="42" t="n">
        <f aca="false">F951*G951</f>
        <v>1076</v>
      </c>
      <c r="I951" s="39" t="s">
        <v>36</v>
      </c>
      <c r="J951" s="39" t="s">
        <v>42</v>
      </c>
      <c r="K951" s="39" t="n">
        <v>5</v>
      </c>
    </row>
    <row r="952" customFormat="false" ht="15" hidden="false" customHeight="false" outlineLevel="0" collapsed="false">
      <c r="A952" s="39" t="s">
        <v>1062</v>
      </c>
      <c r="B952" s="40" t="n">
        <v>46278</v>
      </c>
      <c r="C952" s="39" t="s">
        <v>52</v>
      </c>
      <c r="D952" s="39" t="s">
        <v>33</v>
      </c>
      <c r="E952" s="39" t="s">
        <v>102</v>
      </c>
      <c r="F952" s="39" t="n">
        <v>1</v>
      </c>
      <c r="G952" s="41" t="n">
        <v>748</v>
      </c>
      <c r="H952" s="42" t="n">
        <f aca="false">F952*G952</f>
        <v>748</v>
      </c>
      <c r="I952" s="39" t="s">
        <v>34</v>
      </c>
      <c r="J952" s="39" t="s">
        <v>42</v>
      </c>
      <c r="K952" s="39" t="n">
        <v>3</v>
      </c>
    </row>
    <row r="953" customFormat="false" ht="15" hidden="false" customHeight="false" outlineLevel="0" collapsed="false">
      <c r="A953" s="39" t="s">
        <v>1063</v>
      </c>
      <c r="B953" s="40" t="n">
        <v>46278</v>
      </c>
      <c r="C953" s="39" t="s">
        <v>109</v>
      </c>
      <c r="D953" s="39" t="s">
        <v>37</v>
      </c>
      <c r="E953" s="39" t="s">
        <v>141</v>
      </c>
      <c r="F953" s="39" t="n">
        <v>2</v>
      </c>
      <c r="G953" s="41" t="n">
        <v>618</v>
      </c>
      <c r="H953" s="42" t="n">
        <f aca="false">F953*G953</f>
        <v>1236</v>
      </c>
      <c r="I953" s="39" t="s">
        <v>34</v>
      </c>
      <c r="J953" s="39" t="s">
        <v>42</v>
      </c>
      <c r="K953" s="39" t="n">
        <v>6</v>
      </c>
    </row>
    <row r="954" customFormat="false" ht="15" hidden="false" customHeight="false" outlineLevel="0" collapsed="false">
      <c r="A954" s="39" t="s">
        <v>1064</v>
      </c>
      <c r="B954" s="40" t="n">
        <v>46278</v>
      </c>
      <c r="C954" s="39" t="s">
        <v>53</v>
      </c>
      <c r="D954" s="39" t="s">
        <v>37</v>
      </c>
      <c r="E954" s="39" t="s">
        <v>141</v>
      </c>
      <c r="F954" s="39" t="n">
        <v>2</v>
      </c>
      <c r="G954" s="41" t="n">
        <v>538</v>
      </c>
      <c r="H954" s="42" t="n">
        <f aca="false">F954*G954</f>
        <v>1076</v>
      </c>
      <c r="I954" s="39" t="s">
        <v>36</v>
      </c>
      <c r="J954" s="39" t="s">
        <v>42</v>
      </c>
      <c r="K954" s="39" t="n">
        <v>4</v>
      </c>
    </row>
    <row r="955" customFormat="false" ht="15" hidden="false" customHeight="false" outlineLevel="0" collapsed="false">
      <c r="A955" s="39" t="s">
        <v>1065</v>
      </c>
      <c r="B955" s="40" t="n">
        <v>46279</v>
      </c>
      <c r="C955" s="39" t="s">
        <v>50</v>
      </c>
      <c r="D955" s="39" t="s">
        <v>33</v>
      </c>
      <c r="E955" s="39" t="s">
        <v>102</v>
      </c>
      <c r="F955" s="39" t="n">
        <v>1</v>
      </c>
      <c r="G955" s="41" t="n">
        <v>688</v>
      </c>
      <c r="H955" s="42" t="n">
        <f aca="false">F955*G955</f>
        <v>688</v>
      </c>
      <c r="I955" s="39" t="s">
        <v>36</v>
      </c>
      <c r="J955" s="39" t="s">
        <v>42</v>
      </c>
      <c r="K955" s="39" t="n">
        <v>4</v>
      </c>
    </row>
    <row r="956" customFormat="false" ht="15" hidden="false" customHeight="false" outlineLevel="0" collapsed="false">
      <c r="A956" s="39" t="s">
        <v>1066</v>
      </c>
      <c r="B956" s="40" t="n">
        <v>46279</v>
      </c>
      <c r="C956" s="39" t="s">
        <v>109</v>
      </c>
      <c r="D956" s="39" t="s">
        <v>33</v>
      </c>
      <c r="E956" s="39" t="s">
        <v>136</v>
      </c>
      <c r="F956" s="39" t="n">
        <v>1</v>
      </c>
      <c r="G956" s="41" t="n">
        <v>488</v>
      </c>
      <c r="H956" s="42" t="n">
        <f aca="false">F956*G956</f>
        <v>488</v>
      </c>
      <c r="I956" s="39" t="s">
        <v>34</v>
      </c>
      <c r="J956" s="39" t="s">
        <v>42</v>
      </c>
      <c r="K956" s="39" t="n">
        <v>4</v>
      </c>
    </row>
    <row r="957" customFormat="false" ht="15" hidden="false" customHeight="false" outlineLevel="0" collapsed="false">
      <c r="A957" s="39" t="s">
        <v>1067</v>
      </c>
      <c r="B957" s="40" t="n">
        <v>46279</v>
      </c>
      <c r="C957" s="39" t="s">
        <v>52</v>
      </c>
      <c r="D957" s="39" t="s">
        <v>38</v>
      </c>
      <c r="E957" s="39" t="s">
        <v>121</v>
      </c>
      <c r="F957" s="39" t="n">
        <v>1</v>
      </c>
      <c r="G957" s="41" t="n">
        <v>568</v>
      </c>
      <c r="H957" s="42" t="n">
        <f aca="false">F957*G957</f>
        <v>568</v>
      </c>
      <c r="I957" s="39" t="s">
        <v>34</v>
      </c>
      <c r="J957" s="39" t="s">
        <v>42</v>
      </c>
      <c r="K957" s="39" t="n">
        <v>3</v>
      </c>
    </row>
    <row r="958" customFormat="false" ht="15" hidden="false" customHeight="false" outlineLevel="0" collapsed="false">
      <c r="A958" s="39" t="s">
        <v>1068</v>
      </c>
      <c r="B958" s="40" t="n">
        <v>46279</v>
      </c>
      <c r="C958" s="39" t="s">
        <v>49</v>
      </c>
      <c r="D958" s="39" t="s">
        <v>37</v>
      </c>
      <c r="E958" s="39" t="s">
        <v>131</v>
      </c>
      <c r="F958" s="39" t="n">
        <v>1</v>
      </c>
      <c r="G958" s="41" t="n">
        <v>268</v>
      </c>
      <c r="H958" s="42" t="n">
        <f aca="false">F958*G958</f>
        <v>268</v>
      </c>
      <c r="I958" s="39" t="s">
        <v>34</v>
      </c>
      <c r="J958" s="39" t="s">
        <v>42</v>
      </c>
      <c r="K958" s="39" t="n">
        <v>2</v>
      </c>
    </row>
    <row r="959" customFormat="false" ht="15" hidden="false" customHeight="false" outlineLevel="0" collapsed="false">
      <c r="A959" s="39" t="s">
        <v>1069</v>
      </c>
      <c r="B959" s="40" t="n">
        <v>46279</v>
      </c>
      <c r="C959" s="39" t="s">
        <v>50</v>
      </c>
      <c r="D959" s="39" t="s">
        <v>33</v>
      </c>
      <c r="E959" s="39" t="s">
        <v>114</v>
      </c>
      <c r="F959" s="39" t="n">
        <v>2</v>
      </c>
      <c r="G959" s="41" t="n">
        <v>428</v>
      </c>
      <c r="H959" s="42" t="n">
        <f aca="false">F959*G959</f>
        <v>856</v>
      </c>
      <c r="I959" s="39" t="s">
        <v>36</v>
      </c>
      <c r="J959" s="39" t="s">
        <v>42</v>
      </c>
      <c r="K959" s="39" t="n">
        <v>3</v>
      </c>
    </row>
    <row r="960" customFormat="false" ht="15" hidden="false" customHeight="false" outlineLevel="0" collapsed="false">
      <c r="A960" s="39" t="s">
        <v>1070</v>
      </c>
      <c r="B960" s="40" t="n">
        <v>46279</v>
      </c>
      <c r="C960" s="39" t="s">
        <v>50</v>
      </c>
      <c r="D960" s="39" t="s">
        <v>33</v>
      </c>
      <c r="E960" s="39" t="s">
        <v>117</v>
      </c>
      <c r="F960" s="39" t="n">
        <v>1</v>
      </c>
      <c r="G960" s="41" t="n">
        <v>608</v>
      </c>
      <c r="H960" s="42" t="n">
        <f aca="false">F960*G960</f>
        <v>608</v>
      </c>
      <c r="I960" s="39" t="s">
        <v>34</v>
      </c>
      <c r="J960" s="39" t="s">
        <v>42</v>
      </c>
      <c r="K960" s="39" t="n">
        <v>5</v>
      </c>
    </row>
    <row r="961" customFormat="false" ht="15" hidden="false" customHeight="false" outlineLevel="0" collapsed="false">
      <c r="A961" s="39" t="s">
        <v>1071</v>
      </c>
      <c r="B961" s="40" t="n">
        <v>46279</v>
      </c>
      <c r="C961" s="39" t="s">
        <v>53</v>
      </c>
      <c r="D961" s="39" t="s">
        <v>39</v>
      </c>
      <c r="E961" s="39" t="s">
        <v>105</v>
      </c>
      <c r="F961" s="39" t="n">
        <v>1</v>
      </c>
      <c r="G961" s="41" t="n">
        <v>898</v>
      </c>
      <c r="H961" s="42" t="n">
        <f aca="false">F961*G961</f>
        <v>898</v>
      </c>
      <c r="I961" s="39" t="s">
        <v>34</v>
      </c>
      <c r="J961" s="39" t="s">
        <v>42</v>
      </c>
      <c r="K961" s="39" t="n">
        <v>4</v>
      </c>
    </row>
    <row r="962" customFormat="false" ht="15" hidden="false" customHeight="false" outlineLevel="0" collapsed="false">
      <c r="A962" s="39" t="s">
        <v>1072</v>
      </c>
      <c r="B962" s="40" t="n">
        <v>46279</v>
      </c>
      <c r="C962" s="39" t="s">
        <v>52</v>
      </c>
      <c r="D962" s="39" t="s">
        <v>37</v>
      </c>
      <c r="E962" s="39" t="s">
        <v>131</v>
      </c>
      <c r="F962" s="39" t="n">
        <v>1</v>
      </c>
      <c r="G962" s="41" t="n">
        <v>608</v>
      </c>
      <c r="H962" s="42" t="n">
        <f aca="false">F962*G962</f>
        <v>608</v>
      </c>
      <c r="I962" s="39" t="s">
        <v>36</v>
      </c>
      <c r="J962" s="39" t="s">
        <v>47</v>
      </c>
      <c r="K962" s="39"/>
    </row>
    <row r="963" customFormat="false" ht="15" hidden="false" customHeight="false" outlineLevel="0" collapsed="false">
      <c r="A963" s="39" t="s">
        <v>1073</v>
      </c>
      <c r="B963" s="40" t="n">
        <v>46279</v>
      </c>
      <c r="C963" s="39" t="s">
        <v>49</v>
      </c>
      <c r="D963" s="39" t="s">
        <v>35</v>
      </c>
      <c r="E963" s="39" t="s">
        <v>159</v>
      </c>
      <c r="F963" s="39" t="n">
        <v>3</v>
      </c>
      <c r="G963" s="41" t="n">
        <v>678</v>
      </c>
      <c r="H963" s="42" t="n">
        <f aca="false">F963*G963</f>
        <v>2034</v>
      </c>
      <c r="I963" s="39" t="s">
        <v>36</v>
      </c>
      <c r="J963" s="39" t="s">
        <v>42</v>
      </c>
      <c r="K963" s="39" t="n">
        <v>4</v>
      </c>
    </row>
    <row r="964" customFormat="false" ht="15" hidden="false" customHeight="false" outlineLevel="0" collapsed="false">
      <c r="A964" s="39" t="s">
        <v>1074</v>
      </c>
      <c r="B964" s="40" t="n">
        <v>46279</v>
      </c>
      <c r="C964" s="39" t="s">
        <v>48</v>
      </c>
      <c r="D964" s="39" t="s">
        <v>33</v>
      </c>
      <c r="E964" s="39" t="s">
        <v>102</v>
      </c>
      <c r="F964" s="39" t="n">
        <v>1</v>
      </c>
      <c r="G964" s="41" t="n">
        <v>708</v>
      </c>
      <c r="H964" s="42" t="n">
        <f aca="false">F964*G964</f>
        <v>708</v>
      </c>
      <c r="I964" s="39" t="s">
        <v>36</v>
      </c>
      <c r="J964" s="39" t="s">
        <v>42</v>
      </c>
      <c r="K964" s="39" t="n">
        <v>4</v>
      </c>
    </row>
    <row r="965" customFormat="false" ht="15" hidden="false" customHeight="false" outlineLevel="0" collapsed="false">
      <c r="A965" s="39" t="s">
        <v>1075</v>
      </c>
      <c r="B965" s="40" t="n">
        <v>46279</v>
      </c>
      <c r="C965" s="39" t="s">
        <v>52</v>
      </c>
      <c r="D965" s="39" t="s">
        <v>35</v>
      </c>
      <c r="E965" s="39" t="s">
        <v>95</v>
      </c>
      <c r="F965" s="39" t="n">
        <v>2</v>
      </c>
      <c r="G965" s="41" t="n">
        <v>368</v>
      </c>
      <c r="H965" s="42" t="n">
        <f aca="false">F965*G965</f>
        <v>736</v>
      </c>
      <c r="I965" s="39" t="s">
        <v>34</v>
      </c>
      <c r="J965" s="39" t="s">
        <v>42</v>
      </c>
      <c r="K965" s="39" t="n">
        <v>3</v>
      </c>
    </row>
    <row r="966" customFormat="false" ht="15" hidden="false" customHeight="false" outlineLevel="0" collapsed="false">
      <c r="A966" s="39" t="s">
        <v>1076</v>
      </c>
      <c r="B966" s="40" t="n">
        <v>46279</v>
      </c>
      <c r="C966" s="39" t="s">
        <v>109</v>
      </c>
      <c r="D966" s="39" t="s">
        <v>35</v>
      </c>
      <c r="E966" s="39" t="s">
        <v>95</v>
      </c>
      <c r="F966" s="39" t="n">
        <v>1</v>
      </c>
      <c r="G966" s="41" t="n">
        <v>398</v>
      </c>
      <c r="H966" s="42" t="n">
        <f aca="false">F966*G966</f>
        <v>398</v>
      </c>
      <c r="I966" s="39" t="s">
        <v>36</v>
      </c>
      <c r="J966" s="39" t="s">
        <v>42</v>
      </c>
      <c r="K966" s="39" t="n">
        <v>4</v>
      </c>
    </row>
    <row r="967" customFormat="false" ht="15" hidden="false" customHeight="false" outlineLevel="0" collapsed="false">
      <c r="A967" s="39" t="s">
        <v>1077</v>
      </c>
      <c r="B967" s="40" t="n">
        <v>46280</v>
      </c>
      <c r="C967" s="39" t="s">
        <v>109</v>
      </c>
      <c r="D967" s="39" t="s">
        <v>35</v>
      </c>
      <c r="E967" s="39" t="s">
        <v>95</v>
      </c>
      <c r="F967" s="39" t="n">
        <v>1</v>
      </c>
      <c r="G967" s="41" t="n">
        <v>458</v>
      </c>
      <c r="H967" s="42" t="n">
        <f aca="false">F967*G967</f>
        <v>458</v>
      </c>
      <c r="I967" s="39" t="s">
        <v>34</v>
      </c>
      <c r="J967" s="39" t="s">
        <v>42</v>
      </c>
      <c r="K967" s="39" t="n">
        <v>5</v>
      </c>
    </row>
    <row r="968" customFormat="false" ht="15" hidden="false" customHeight="false" outlineLevel="0" collapsed="false">
      <c r="A968" s="39" t="s">
        <v>1078</v>
      </c>
      <c r="B968" s="40" t="n">
        <v>46280</v>
      </c>
      <c r="C968" s="39" t="s">
        <v>101</v>
      </c>
      <c r="D968" s="39" t="s">
        <v>38</v>
      </c>
      <c r="E968" s="39" t="s">
        <v>121</v>
      </c>
      <c r="F968" s="39" t="n">
        <v>1</v>
      </c>
      <c r="G968" s="41" t="n">
        <v>678</v>
      </c>
      <c r="H968" s="42" t="n">
        <f aca="false">F968*G968</f>
        <v>678</v>
      </c>
      <c r="I968" s="39" t="s">
        <v>34</v>
      </c>
      <c r="J968" s="39" t="s">
        <v>42</v>
      </c>
      <c r="K968" s="39" t="n">
        <v>6</v>
      </c>
    </row>
    <row r="969" customFormat="false" ht="15" hidden="false" customHeight="false" outlineLevel="0" collapsed="false">
      <c r="A969" s="39" t="s">
        <v>1079</v>
      </c>
      <c r="B969" s="40" t="n">
        <v>46280</v>
      </c>
      <c r="C969" s="39" t="s">
        <v>52</v>
      </c>
      <c r="D969" s="39" t="s">
        <v>37</v>
      </c>
      <c r="E969" s="39" t="s">
        <v>131</v>
      </c>
      <c r="F969" s="39" t="n">
        <v>2</v>
      </c>
      <c r="G969" s="41" t="n">
        <v>458</v>
      </c>
      <c r="H969" s="42" t="n">
        <f aca="false">F969*G969</f>
        <v>916</v>
      </c>
      <c r="I969" s="39" t="s">
        <v>34</v>
      </c>
      <c r="J969" s="39" t="s">
        <v>42</v>
      </c>
      <c r="K969" s="39" t="n">
        <v>5</v>
      </c>
    </row>
    <row r="970" customFormat="false" ht="15" hidden="false" customHeight="false" outlineLevel="0" collapsed="false">
      <c r="A970" s="39" t="s">
        <v>1080</v>
      </c>
      <c r="B970" s="40" t="n">
        <v>46280</v>
      </c>
      <c r="C970" s="39" t="s">
        <v>53</v>
      </c>
      <c r="D970" s="39" t="s">
        <v>38</v>
      </c>
      <c r="E970" s="39" t="s">
        <v>121</v>
      </c>
      <c r="F970" s="39" t="n">
        <v>1</v>
      </c>
      <c r="G970" s="41" t="n">
        <v>428</v>
      </c>
      <c r="H970" s="42" t="n">
        <f aca="false">F970*G970</f>
        <v>428</v>
      </c>
      <c r="I970" s="39" t="s">
        <v>36</v>
      </c>
      <c r="J970" s="39" t="s">
        <v>47</v>
      </c>
      <c r="K970" s="39"/>
    </row>
    <row r="971" customFormat="false" ht="15" hidden="false" customHeight="false" outlineLevel="0" collapsed="false">
      <c r="A971" s="39" t="s">
        <v>1081</v>
      </c>
      <c r="B971" s="40" t="n">
        <v>46280</v>
      </c>
      <c r="C971" s="39" t="s">
        <v>109</v>
      </c>
      <c r="D971" s="39" t="s">
        <v>33</v>
      </c>
      <c r="E971" s="39" t="s">
        <v>114</v>
      </c>
      <c r="F971" s="39" t="n">
        <v>1</v>
      </c>
      <c r="G971" s="41" t="n">
        <v>878</v>
      </c>
      <c r="H971" s="42" t="n">
        <f aca="false">F971*G971</f>
        <v>878</v>
      </c>
      <c r="I971" s="39" t="s">
        <v>34</v>
      </c>
      <c r="J971" s="39" t="s">
        <v>42</v>
      </c>
      <c r="K971" s="39" t="n">
        <v>3</v>
      </c>
    </row>
    <row r="972" customFormat="false" ht="15" hidden="false" customHeight="false" outlineLevel="0" collapsed="false">
      <c r="A972" s="39" t="s">
        <v>1082</v>
      </c>
      <c r="B972" s="40" t="n">
        <v>46280</v>
      </c>
      <c r="C972" s="39" t="s">
        <v>51</v>
      </c>
      <c r="D972" s="39" t="s">
        <v>33</v>
      </c>
      <c r="E972" s="39" t="s">
        <v>117</v>
      </c>
      <c r="F972" s="39" t="n">
        <v>1</v>
      </c>
      <c r="G972" s="41" t="n">
        <v>778</v>
      </c>
      <c r="H972" s="42" t="n">
        <f aca="false">F972*G972</f>
        <v>778</v>
      </c>
      <c r="I972" s="39" t="s">
        <v>34</v>
      </c>
      <c r="J972" s="39" t="s">
        <v>42</v>
      </c>
      <c r="K972" s="39" t="n">
        <v>7</v>
      </c>
    </row>
    <row r="973" customFormat="false" ht="15" hidden="false" customHeight="false" outlineLevel="0" collapsed="false">
      <c r="A973" s="39" t="s">
        <v>1083</v>
      </c>
      <c r="B973" s="40" t="n">
        <v>46280</v>
      </c>
      <c r="C973" s="39" t="s">
        <v>52</v>
      </c>
      <c r="D973" s="39" t="s">
        <v>35</v>
      </c>
      <c r="E973" s="39" t="s">
        <v>159</v>
      </c>
      <c r="F973" s="39" t="n">
        <v>1</v>
      </c>
      <c r="G973" s="41" t="n">
        <v>298</v>
      </c>
      <c r="H973" s="42" t="n">
        <f aca="false">F973*G973</f>
        <v>298</v>
      </c>
      <c r="I973" s="39" t="s">
        <v>34</v>
      </c>
      <c r="J973" s="39" t="s">
        <v>42</v>
      </c>
      <c r="K973" s="39" t="n">
        <v>4</v>
      </c>
    </row>
    <row r="974" customFormat="false" ht="15" hidden="false" customHeight="false" outlineLevel="0" collapsed="false">
      <c r="A974" s="39" t="s">
        <v>1084</v>
      </c>
      <c r="B974" s="40" t="n">
        <v>46280</v>
      </c>
      <c r="C974" s="39" t="s">
        <v>48</v>
      </c>
      <c r="D974" s="39" t="s">
        <v>35</v>
      </c>
      <c r="E974" s="39" t="s">
        <v>125</v>
      </c>
      <c r="F974" s="39" t="n">
        <v>2</v>
      </c>
      <c r="G974" s="41" t="n">
        <v>458</v>
      </c>
      <c r="H974" s="42" t="n">
        <f aca="false">F974*G974</f>
        <v>916</v>
      </c>
      <c r="I974" s="39" t="s">
        <v>36</v>
      </c>
      <c r="J974" s="39" t="s">
        <v>42</v>
      </c>
      <c r="K974" s="39" t="n">
        <v>2</v>
      </c>
    </row>
    <row r="975" customFormat="false" ht="15" hidden="false" customHeight="false" outlineLevel="0" collapsed="false">
      <c r="A975" s="39" t="s">
        <v>1085</v>
      </c>
      <c r="B975" s="40" t="n">
        <v>46280</v>
      </c>
      <c r="C975" s="39" t="s">
        <v>109</v>
      </c>
      <c r="D975" s="39" t="s">
        <v>37</v>
      </c>
      <c r="E975" s="39" t="s">
        <v>97</v>
      </c>
      <c r="F975" s="39" t="n">
        <v>1</v>
      </c>
      <c r="G975" s="41" t="n">
        <v>548</v>
      </c>
      <c r="H975" s="42" t="n">
        <f aca="false">F975*G975</f>
        <v>548</v>
      </c>
      <c r="I975" s="39" t="s">
        <v>36</v>
      </c>
      <c r="J975" s="39" t="s">
        <v>42</v>
      </c>
      <c r="K975" s="39" t="n">
        <v>5</v>
      </c>
    </row>
    <row r="976" customFormat="false" ht="15" hidden="false" customHeight="false" outlineLevel="0" collapsed="false">
      <c r="A976" s="39" t="s">
        <v>1086</v>
      </c>
      <c r="B976" s="40" t="n">
        <v>46280</v>
      </c>
      <c r="C976" s="39" t="s">
        <v>48</v>
      </c>
      <c r="D976" s="39" t="s">
        <v>37</v>
      </c>
      <c r="E976" s="39" t="s">
        <v>97</v>
      </c>
      <c r="F976" s="39" t="n">
        <v>2</v>
      </c>
      <c r="G976" s="41" t="n">
        <v>488</v>
      </c>
      <c r="H976" s="42" t="n">
        <f aca="false">F976*G976</f>
        <v>976</v>
      </c>
      <c r="I976" s="39" t="s">
        <v>34</v>
      </c>
      <c r="J976" s="39" t="s">
        <v>42</v>
      </c>
      <c r="K976" s="39" t="n">
        <v>5</v>
      </c>
    </row>
    <row r="977" customFormat="false" ht="15" hidden="false" customHeight="false" outlineLevel="0" collapsed="false">
      <c r="A977" s="39" t="s">
        <v>1087</v>
      </c>
      <c r="B977" s="40" t="n">
        <v>46280</v>
      </c>
      <c r="C977" s="39" t="s">
        <v>53</v>
      </c>
      <c r="D977" s="39" t="s">
        <v>38</v>
      </c>
      <c r="E977" s="39" t="s">
        <v>110</v>
      </c>
      <c r="F977" s="39" t="n">
        <v>1</v>
      </c>
      <c r="G977" s="41" t="n">
        <v>828</v>
      </c>
      <c r="H977" s="42" t="n">
        <f aca="false">F977*G977</f>
        <v>828</v>
      </c>
      <c r="I977" s="39" t="s">
        <v>36</v>
      </c>
      <c r="J977" s="39" t="s">
        <v>45</v>
      </c>
      <c r="K977" s="39"/>
    </row>
    <row r="978" customFormat="false" ht="15" hidden="false" customHeight="false" outlineLevel="0" collapsed="false">
      <c r="A978" s="39" t="s">
        <v>1088</v>
      </c>
      <c r="B978" s="40" t="n">
        <v>46280</v>
      </c>
      <c r="C978" s="39" t="s">
        <v>52</v>
      </c>
      <c r="D978" s="39" t="s">
        <v>33</v>
      </c>
      <c r="E978" s="39" t="s">
        <v>102</v>
      </c>
      <c r="F978" s="39" t="n">
        <v>1</v>
      </c>
      <c r="G978" s="41" t="n">
        <v>528</v>
      </c>
      <c r="H978" s="42" t="n">
        <f aca="false">F978*G978</f>
        <v>528</v>
      </c>
      <c r="I978" s="39" t="s">
        <v>36</v>
      </c>
      <c r="J978" s="39" t="s">
        <v>47</v>
      </c>
      <c r="K978" s="39"/>
    </row>
    <row r="979" customFormat="false" ht="15" hidden="false" customHeight="false" outlineLevel="0" collapsed="false">
      <c r="A979" s="39" t="s">
        <v>1089</v>
      </c>
      <c r="B979" s="40" t="n">
        <v>46280</v>
      </c>
      <c r="C979" s="39" t="s">
        <v>53</v>
      </c>
      <c r="D979" s="39" t="s">
        <v>33</v>
      </c>
      <c r="E979" s="39" t="s">
        <v>136</v>
      </c>
      <c r="F979" s="39" t="n">
        <v>1</v>
      </c>
      <c r="G979" s="41" t="n">
        <v>638</v>
      </c>
      <c r="H979" s="42" t="n">
        <f aca="false">F979*G979</f>
        <v>638</v>
      </c>
      <c r="I979" s="39" t="s">
        <v>34</v>
      </c>
      <c r="J979" s="39" t="s">
        <v>45</v>
      </c>
      <c r="K979" s="39"/>
    </row>
    <row r="980" customFormat="false" ht="15" hidden="false" customHeight="false" outlineLevel="0" collapsed="false">
      <c r="A980" s="39" t="s">
        <v>1090</v>
      </c>
      <c r="B980" s="40" t="n">
        <v>46280</v>
      </c>
      <c r="C980" s="39" t="s">
        <v>48</v>
      </c>
      <c r="D980" s="39" t="s">
        <v>38</v>
      </c>
      <c r="E980" s="39" t="s">
        <v>107</v>
      </c>
      <c r="F980" s="39" t="n">
        <v>1</v>
      </c>
      <c r="G980" s="41" t="n">
        <v>858</v>
      </c>
      <c r="H980" s="42" t="n">
        <f aca="false">F980*G980</f>
        <v>858</v>
      </c>
      <c r="I980" s="39" t="s">
        <v>34</v>
      </c>
      <c r="J980" s="39" t="s">
        <v>42</v>
      </c>
      <c r="K980" s="39" t="n">
        <v>5</v>
      </c>
    </row>
    <row r="981" customFormat="false" ht="15" hidden="false" customHeight="false" outlineLevel="0" collapsed="false">
      <c r="A981" s="39" t="s">
        <v>1091</v>
      </c>
      <c r="B981" s="40" t="n">
        <v>46280</v>
      </c>
      <c r="C981" s="39" t="s">
        <v>109</v>
      </c>
      <c r="D981" s="39" t="s">
        <v>39</v>
      </c>
      <c r="E981" s="39" t="s">
        <v>105</v>
      </c>
      <c r="F981" s="39" t="n">
        <v>3</v>
      </c>
      <c r="G981" s="41" t="n">
        <v>1158</v>
      </c>
      <c r="H981" s="42" t="n">
        <f aca="false">F981*G981</f>
        <v>3474</v>
      </c>
      <c r="I981" s="39" t="s">
        <v>36</v>
      </c>
      <c r="J981" s="39" t="s">
        <v>42</v>
      </c>
      <c r="K981" s="39" t="n">
        <v>3</v>
      </c>
    </row>
    <row r="982" customFormat="false" ht="15" hidden="false" customHeight="false" outlineLevel="0" collapsed="false">
      <c r="A982" s="39" t="s">
        <v>1092</v>
      </c>
      <c r="B982" s="40" t="n">
        <v>46280</v>
      </c>
      <c r="C982" s="39" t="s">
        <v>48</v>
      </c>
      <c r="D982" s="39" t="s">
        <v>35</v>
      </c>
      <c r="E982" s="39" t="s">
        <v>95</v>
      </c>
      <c r="F982" s="39" t="n">
        <v>1</v>
      </c>
      <c r="G982" s="41" t="n">
        <v>328</v>
      </c>
      <c r="H982" s="42" t="n">
        <f aca="false">F982*G982</f>
        <v>328</v>
      </c>
      <c r="I982" s="39" t="s">
        <v>36</v>
      </c>
      <c r="J982" s="39" t="s">
        <v>42</v>
      </c>
      <c r="K982" s="39" t="n">
        <v>4</v>
      </c>
    </row>
    <row r="983" customFormat="false" ht="15" hidden="false" customHeight="false" outlineLevel="0" collapsed="false">
      <c r="A983" s="39" t="s">
        <v>1093</v>
      </c>
      <c r="B983" s="40" t="n">
        <v>46280</v>
      </c>
      <c r="C983" s="39" t="s">
        <v>48</v>
      </c>
      <c r="D983" s="39" t="s">
        <v>39</v>
      </c>
      <c r="E983" s="39" t="s">
        <v>99</v>
      </c>
      <c r="F983" s="39" t="n">
        <v>1</v>
      </c>
      <c r="G983" s="41" t="n">
        <v>958</v>
      </c>
      <c r="H983" s="42" t="n">
        <f aca="false">F983*G983</f>
        <v>958</v>
      </c>
      <c r="I983" s="39" t="s">
        <v>36</v>
      </c>
      <c r="J983" s="39" t="s">
        <v>42</v>
      </c>
      <c r="K983" s="39" t="n">
        <v>5</v>
      </c>
    </row>
    <row r="984" customFormat="false" ht="15" hidden="false" customHeight="false" outlineLevel="0" collapsed="false">
      <c r="A984" s="39" t="s">
        <v>1094</v>
      </c>
      <c r="B984" s="40" t="n">
        <v>46280</v>
      </c>
      <c r="C984" s="39" t="s">
        <v>48</v>
      </c>
      <c r="D984" s="39" t="s">
        <v>33</v>
      </c>
      <c r="E984" s="39" t="s">
        <v>114</v>
      </c>
      <c r="F984" s="39" t="n">
        <v>1</v>
      </c>
      <c r="G984" s="41" t="n">
        <v>848</v>
      </c>
      <c r="H984" s="42" t="n">
        <f aca="false">F984*G984</f>
        <v>848</v>
      </c>
      <c r="I984" s="39" t="s">
        <v>34</v>
      </c>
      <c r="J984" s="39" t="s">
        <v>42</v>
      </c>
      <c r="K984" s="39" t="n">
        <v>4</v>
      </c>
    </row>
    <row r="985" customFormat="false" ht="15" hidden="false" customHeight="false" outlineLevel="0" collapsed="false">
      <c r="A985" s="39" t="s">
        <v>1095</v>
      </c>
      <c r="B985" s="40" t="n">
        <v>46280</v>
      </c>
      <c r="C985" s="39" t="s">
        <v>49</v>
      </c>
      <c r="D985" s="39" t="s">
        <v>38</v>
      </c>
      <c r="E985" s="39" t="s">
        <v>121</v>
      </c>
      <c r="F985" s="39" t="n">
        <v>1</v>
      </c>
      <c r="G985" s="41" t="n">
        <v>898</v>
      </c>
      <c r="H985" s="42" t="n">
        <f aca="false">F985*G985</f>
        <v>898</v>
      </c>
      <c r="I985" s="39" t="s">
        <v>34</v>
      </c>
      <c r="J985" s="39" t="s">
        <v>42</v>
      </c>
      <c r="K985" s="39" t="n">
        <v>5</v>
      </c>
    </row>
    <row r="986" customFormat="false" ht="15" hidden="false" customHeight="false" outlineLevel="0" collapsed="false">
      <c r="A986" s="39" t="s">
        <v>1096</v>
      </c>
      <c r="B986" s="40" t="n">
        <v>46280</v>
      </c>
      <c r="C986" s="39" t="s">
        <v>49</v>
      </c>
      <c r="D986" s="39" t="s">
        <v>33</v>
      </c>
      <c r="E986" s="39" t="s">
        <v>114</v>
      </c>
      <c r="F986" s="39" t="n">
        <v>1</v>
      </c>
      <c r="G986" s="41" t="n">
        <v>758</v>
      </c>
      <c r="H986" s="42" t="n">
        <f aca="false">F986*G986</f>
        <v>758</v>
      </c>
      <c r="I986" s="39" t="s">
        <v>34</v>
      </c>
      <c r="J986" s="39" t="s">
        <v>42</v>
      </c>
      <c r="K986" s="39" t="n">
        <v>4</v>
      </c>
    </row>
    <row r="987" customFormat="false" ht="15" hidden="false" customHeight="false" outlineLevel="0" collapsed="false">
      <c r="A987" s="39" t="s">
        <v>1097</v>
      </c>
      <c r="B987" s="40" t="n">
        <v>46281</v>
      </c>
      <c r="C987" s="39" t="s">
        <v>109</v>
      </c>
      <c r="D987" s="39" t="s">
        <v>38</v>
      </c>
      <c r="E987" s="39" t="s">
        <v>107</v>
      </c>
      <c r="F987" s="39" t="n">
        <v>1</v>
      </c>
      <c r="G987" s="41" t="n">
        <v>408</v>
      </c>
      <c r="H987" s="42" t="n">
        <f aca="false">F987*G987</f>
        <v>408</v>
      </c>
      <c r="I987" s="39" t="s">
        <v>36</v>
      </c>
      <c r="J987" s="39" t="s">
        <v>42</v>
      </c>
      <c r="K987" s="39" t="n">
        <v>5</v>
      </c>
    </row>
    <row r="988" customFormat="false" ht="15" hidden="false" customHeight="false" outlineLevel="0" collapsed="false">
      <c r="A988" s="39" t="s">
        <v>1098</v>
      </c>
      <c r="B988" s="40" t="n">
        <v>46281</v>
      </c>
      <c r="C988" s="39" t="s">
        <v>48</v>
      </c>
      <c r="D988" s="39" t="s">
        <v>33</v>
      </c>
      <c r="E988" s="39" t="s">
        <v>114</v>
      </c>
      <c r="F988" s="39" t="n">
        <v>1</v>
      </c>
      <c r="G988" s="41" t="n">
        <v>708</v>
      </c>
      <c r="H988" s="42" t="n">
        <f aca="false">F988*G988</f>
        <v>708</v>
      </c>
      <c r="I988" s="39" t="s">
        <v>36</v>
      </c>
      <c r="J988" s="39" t="s">
        <v>42</v>
      </c>
      <c r="K988" s="39" t="n">
        <v>5</v>
      </c>
    </row>
    <row r="989" customFormat="false" ht="15" hidden="false" customHeight="false" outlineLevel="0" collapsed="false">
      <c r="A989" s="39" t="s">
        <v>1099</v>
      </c>
      <c r="B989" s="40" t="n">
        <v>46281</v>
      </c>
      <c r="C989" s="39" t="s">
        <v>52</v>
      </c>
      <c r="D989" s="39" t="s">
        <v>35</v>
      </c>
      <c r="E989" s="39" t="s">
        <v>125</v>
      </c>
      <c r="F989" s="39" t="n">
        <v>1</v>
      </c>
      <c r="G989" s="41" t="n">
        <v>638</v>
      </c>
      <c r="H989" s="42" t="n">
        <f aca="false">F989*G989</f>
        <v>638</v>
      </c>
      <c r="I989" s="39" t="s">
        <v>34</v>
      </c>
      <c r="J989" s="39" t="s">
        <v>42</v>
      </c>
      <c r="K989" s="39" t="n">
        <v>5</v>
      </c>
    </row>
    <row r="990" customFormat="false" ht="15" hidden="false" customHeight="false" outlineLevel="0" collapsed="false">
      <c r="A990" s="39" t="s">
        <v>1100</v>
      </c>
      <c r="B990" s="40" t="n">
        <v>46281</v>
      </c>
      <c r="C990" s="39" t="s">
        <v>48</v>
      </c>
      <c r="D990" s="39" t="s">
        <v>37</v>
      </c>
      <c r="E990" s="39" t="s">
        <v>141</v>
      </c>
      <c r="F990" s="39" t="n">
        <v>1</v>
      </c>
      <c r="G990" s="41" t="n">
        <v>268</v>
      </c>
      <c r="H990" s="42" t="n">
        <f aca="false">F990*G990</f>
        <v>268</v>
      </c>
      <c r="I990" s="39" t="s">
        <v>36</v>
      </c>
      <c r="J990" s="39" t="s">
        <v>45</v>
      </c>
      <c r="K990" s="39"/>
    </row>
    <row r="991" customFormat="false" ht="15" hidden="false" customHeight="false" outlineLevel="0" collapsed="false">
      <c r="A991" s="39" t="s">
        <v>1101</v>
      </c>
      <c r="B991" s="40" t="n">
        <v>46281</v>
      </c>
      <c r="C991" s="39" t="s">
        <v>48</v>
      </c>
      <c r="D991" s="39" t="s">
        <v>33</v>
      </c>
      <c r="E991" s="39" t="s">
        <v>102</v>
      </c>
      <c r="F991" s="39" t="n">
        <v>3</v>
      </c>
      <c r="G991" s="41" t="n">
        <v>788</v>
      </c>
      <c r="H991" s="42" t="n">
        <f aca="false">F991*G991</f>
        <v>2364</v>
      </c>
      <c r="I991" s="39" t="s">
        <v>34</v>
      </c>
      <c r="J991" s="39" t="s">
        <v>42</v>
      </c>
      <c r="K991" s="39" t="n">
        <v>5</v>
      </c>
    </row>
    <row r="992" customFormat="false" ht="15" hidden="false" customHeight="false" outlineLevel="0" collapsed="false">
      <c r="A992" s="39" t="s">
        <v>1102</v>
      </c>
      <c r="B992" s="40" t="n">
        <v>46281</v>
      </c>
      <c r="C992" s="39" t="s">
        <v>51</v>
      </c>
      <c r="D992" s="39" t="s">
        <v>33</v>
      </c>
      <c r="E992" s="39" t="s">
        <v>117</v>
      </c>
      <c r="F992" s="39" t="n">
        <v>1</v>
      </c>
      <c r="G992" s="41" t="n">
        <v>308</v>
      </c>
      <c r="H992" s="42" t="n">
        <f aca="false">F992*G992</f>
        <v>308</v>
      </c>
      <c r="I992" s="39" t="s">
        <v>34</v>
      </c>
      <c r="J992" s="39" t="s">
        <v>42</v>
      </c>
      <c r="K992" s="39" t="n">
        <v>7</v>
      </c>
    </row>
    <row r="993" customFormat="false" ht="15" hidden="false" customHeight="false" outlineLevel="0" collapsed="false">
      <c r="A993" s="39" t="s">
        <v>1103</v>
      </c>
      <c r="B993" s="40" t="n">
        <v>46281</v>
      </c>
      <c r="C993" s="39" t="s">
        <v>49</v>
      </c>
      <c r="D993" s="39" t="s">
        <v>37</v>
      </c>
      <c r="E993" s="39" t="s">
        <v>141</v>
      </c>
      <c r="F993" s="39" t="n">
        <v>1</v>
      </c>
      <c r="G993" s="41" t="n">
        <v>408</v>
      </c>
      <c r="H993" s="42" t="n">
        <f aca="false">F993*G993</f>
        <v>408</v>
      </c>
      <c r="I993" s="39" t="s">
        <v>36</v>
      </c>
      <c r="J993" s="39" t="s">
        <v>42</v>
      </c>
      <c r="K993" s="39" t="n">
        <v>3</v>
      </c>
    </row>
    <row r="994" customFormat="false" ht="15" hidden="false" customHeight="false" outlineLevel="0" collapsed="false">
      <c r="A994" s="39" t="s">
        <v>1104</v>
      </c>
      <c r="B994" s="40" t="n">
        <v>46281</v>
      </c>
      <c r="C994" s="39" t="s">
        <v>52</v>
      </c>
      <c r="D994" s="39" t="s">
        <v>37</v>
      </c>
      <c r="E994" s="39" t="s">
        <v>141</v>
      </c>
      <c r="F994" s="39" t="n">
        <v>1</v>
      </c>
      <c r="G994" s="41" t="n">
        <v>598</v>
      </c>
      <c r="H994" s="42" t="n">
        <f aca="false">F994*G994</f>
        <v>598</v>
      </c>
      <c r="I994" s="39" t="s">
        <v>34</v>
      </c>
      <c r="J994" s="39" t="s">
        <v>42</v>
      </c>
      <c r="K994" s="39" t="n">
        <v>5</v>
      </c>
    </row>
    <row r="995" customFormat="false" ht="15" hidden="false" customHeight="false" outlineLevel="0" collapsed="false">
      <c r="A995" s="39" t="s">
        <v>1105</v>
      </c>
      <c r="B995" s="40" t="n">
        <v>46281</v>
      </c>
      <c r="C995" s="39" t="s">
        <v>109</v>
      </c>
      <c r="D995" s="39" t="s">
        <v>38</v>
      </c>
      <c r="E995" s="39" t="s">
        <v>107</v>
      </c>
      <c r="F995" s="39" t="n">
        <v>2</v>
      </c>
      <c r="G995" s="41" t="n">
        <v>858</v>
      </c>
      <c r="H995" s="42" t="n">
        <f aca="false">F995*G995</f>
        <v>1716</v>
      </c>
      <c r="I995" s="39" t="s">
        <v>36</v>
      </c>
      <c r="J995" s="39" t="s">
        <v>47</v>
      </c>
      <c r="K995" s="39"/>
    </row>
    <row r="996" customFormat="false" ht="15" hidden="false" customHeight="false" outlineLevel="0" collapsed="false">
      <c r="A996" s="39" t="s">
        <v>1106</v>
      </c>
      <c r="B996" s="40" t="n">
        <v>46281</v>
      </c>
      <c r="C996" s="39" t="s">
        <v>52</v>
      </c>
      <c r="D996" s="39" t="s">
        <v>35</v>
      </c>
      <c r="E996" s="39" t="s">
        <v>125</v>
      </c>
      <c r="F996" s="39" t="n">
        <v>3</v>
      </c>
      <c r="G996" s="41" t="n">
        <v>298</v>
      </c>
      <c r="H996" s="42" t="n">
        <f aca="false">F996*G996</f>
        <v>894</v>
      </c>
      <c r="I996" s="39" t="s">
        <v>34</v>
      </c>
      <c r="J996" s="39" t="s">
        <v>42</v>
      </c>
      <c r="K996" s="39" t="n">
        <v>5</v>
      </c>
    </row>
    <row r="997" customFormat="false" ht="15" hidden="false" customHeight="false" outlineLevel="0" collapsed="false">
      <c r="A997" s="39" t="s">
        <v>1107</v>
      </c>
      <c r="B997" s="40" t="n">
        <v>46281</v>
      </c>
      <c r="C997" s="39" t="s">
        <v>101</v>
      </c>
      <c r="D997" s="39" t="s">
        <v>37</v>
      </c>
      <c r="E997" s="39" t="s">
        <v>131</v>
      </c>
      <c r="F997" s="39" t="n">
        <v>1</v>
      </c>
      <c r="G997" s="41" t="n">
        <v>578</v>
      </c>
      <c r="H997" s="42" t="n">
        <f aca="false">F997*G997</f>
        <v>578</v>
      </c>
      <c r="I997" s="39" t="s">
        <v>34</v>
      </c>
      <c r="J997" s="39" t="s">
        <v>42</v>
      </c>
      <c r="K997" s="39" t="n">
        <v>3</v>
      </c>
    </row>
    <row r="998" customFormat="false" ht="15" hidden="false" customHeight="false" outlineLevel="0" collapsed="false">
      <c r="A998" s="39" t="s">
        <v>1108</v>
      </c>
      <c r="B998" s="40" t="n">
        <v>46282</v>
      </c>
      <c r="C998" s="39" t="s">
        <v>101</v>
      </c>
      <c r="D998" s="39" t="s">
        <v>35</v>
      </c>
      <c r="E998" s="39" t="s">
        <v>95</v>
      </c>
      <c r="F998" s="39" t="n">
        <v>1</v>
      </c>
      <c r="G998" s="41" t="n">
        <v>438</v>
      </c>
      <c r="H998" s="42" t="n">
        <f aca="false">F998*G998</f>
        <v>438</v>
      </c>
      <c r="I998" s="39" t="s">
        <v>36</v>
      </c>
      <c r="J998" s="39" t="s">
        <v>42</v>
      </c>
      <c r="K998" s="39" t="n">
        <v>3</v>
      </c>
    </row>
    <row r="999" customFormat="false" ht="15" hidden="false" customHeight="false" outlineLevel="0" collapsed="false">
      <c r="A999" s="39" t="s">
        <v>1109</v>
      </c>
      <c r="B999" s="40" t="n">
        <v>46282</v>
      </c>
      <c r="C999" s="39" t="s">
        <v>49</v>
      </c>
      <c r="D999" s="39" t="s">
        <v>35</v>
      </c>
      <c r="E999" s="39" t="s">
        <v>125</v>
      </c>
      <c r="F999" s="39" t="n">
        <v>1</v>
      </c>
      <c r="G999" s="41" t="n">
        <v>748</v>
      </c>
      <c r="H999" s="42" t="n">
        <f aca="false">F999*G999</f>
        <v>748</v>
      </c>
      <c r="I999" s="39" t="s">
        <v>34</v>
      </c>
      <c r="J999" s="39" t="s">
        <v>42</v>
      </c>
      <c r="K999" s="39" t="n">
        <v>5</v>
      </c>
    </row>
    <row r="1000" customFormat="false" ht="15" hidden="false" customHeight="false" outlineLevel="0" collapsed="false">
      <c r="A1000" s="39" t="s">
        <v>1110</v>
      </c>
      <c r="B1000" s="40" t="n">
        <v>46282</v>
      </c>
      <c r="C1000" s="39" t="s">
        <v>48</v>
      </c>
      <c r="D1000" s="39" t="s">
        <v>35</v>
      </c>
      <c r="E1000" s="39" t="s">
        <v>159</v>
      </c>
      <c r="F1000" s="39" t="n">
        <v>1</v>
      </c>
      <c r="G1000" s="41" t="n">
        <v>348</v>
      </c>
      <c r="H1000" s="42" t="n">
        <f aca="false">F1000*G1000</f>
        <v>348</v>
      </c>
      <c r="I1000" s="39" t="s">
        <v>34</v>
      </c>
      <c r="J1000" s="39" t="s">
        <v>42</v>
      </c>
      <c r="K1000" s="39" t="n">
        <v>3</v>
      </c>
    </row>
    <row r="1001" customFormat="false" ht="15" hidden="false" customHeight="false" outlineLevel="0" collapsed="false">
      <c r="A1001" s="39" t="s">
        <v>1111</v>
      </c>
      <c r="B1001" s="40" t="n">
        <v>46282</v>
      </c>
      <c r="C1001" s="39" t="s">
        <v>53</v>
      </c>
      <c r="D1001" s="39" t="s">
        <v>33</v>
      </c>
      <c r="E1001" s="39" t="s">
        <v>102</v>
      </c>
      <c r="F1001" s="39" t="n">
        <v>1</v>
      </c>
      <c r="G1001" s="41" t="n">
        <v>788</v>
      </c>
      <c r="H1001" s="42" t="n">
        <f aca="false">F1001*G1001</f>
        <v>788</v>
      </c>
      <c r="I1001" s="39" t="s">
        <v>34</v>
      </c>
      <c r="J1001" s="39" t="s">
        <v>43</v>
      </c>
      <c r="K1001" s="39" t="n">
        <v>3</v>
      </c>
    </row>
    <row r="1002" customFormat="false" ht="15" hidden="false" customHeight="false" outlineLevel="0" collapsed="false">
      <c r="A1002" s="39" t="s">
        <v>1112</v>
      </c>
      <c r="B1002" s="40" t="n">
        <v>46282</v>
      </c>
      <c r="C1002" s="39" t="s">
        <v>53</v>
      </c>
      <c r="D1002" s="39" t="s">
        <v>33</v>
      </c>
      <c r="E1002" s="39" t="s">
        <v>114</v>
      </c>
      <c r="F1002" s="39" t="n">
        <v>1</v>
      </c>
      <c r="G1002" s="41" t="n">
        <v>888</v>
      </c>
      <c r="H1002" s="42" t="n">
        <f aca="false">F1002*G1002</f>
        <v>888</v>
      </c>
      <c r="I1002" s="39" t="s">
        <v>34</v>
      </c>
      <c r="J1002" s="39" t="s">
        <v>42</v>
      </c>
      <c r="K1002" s="39" t="n">
        <v>5</v>
      </c>
    </row>
    <row r="1003" customFormat="false" ht="15" hidden="false" customHeight="false" outlineLevel="0" collapsed="false">
      <c r="A1003" s="39" t="s">
        <v>1113</v>
      </c>
      <c r="B1003" s="40" t="n">
        <v>46282</v>
      </c>
      <c r="C1003" s="39" t="s">
        <v>48</v>
      </c>
      <c r="D1003" s="39" t="s">
        <v>39</v>
      </c>
      <c r="E1003" s="39" t="s">
        <v>99</v>
      </c>
      <c r="F1003" s="39" t="n">
        <v>1</v>
      </c>
      <c r="G1003" s="41" t="n">
        <v>1088</v>
      </c>
      <c r="H1003" s="42" t="n">
        <f aca="false">F1003*G1003</f>
        <v>1088</v>
      </c>
      <c r="I1003" s="39" t="s">
        <v>34</v>
      </c>
      <c r="J1003" s="39" t="s">
        <v>42</v>
      </c>
      <c r="K1003" s="39" t="n">
        <v>3</v>
      </c>
    </row>
    <row r="1004" customFormat="false" ht="15" hidden="false" customHeight="false" outlineLevel="0" collapsed="false">
      <c r="A1004" s="39" t="s">
        <v>1114</v>
      </c>
      <c r="B1004" s="40" t="n">
        <v>46282</v>
      </c>
      <c r="C1004" s="39" t="s">
        <v>101</v>
      </c>
      <c r="D1004" s="39" t="s">
        <v>38</v>
      </c>
      <c r="E1004" s="39" t="s">
        <v>107</v>
      </c>
      <c r="F1004" s="39" t="n">
        <v>2</v>
      </c>
      <c r="G1004" s="41" t="n">
        <v>388</v>
      </c>
      <c r="H1004" s="42" t="n">
        <f aca="false">F1004*G1004</f>
        <v>776</v>
      </c>
      <c r="I1004" s="39" t="s">
        <v>34</v>
      </c>
      <c r="J1004" s="39" t="s">
        <v>43</v>
      </c>
      <c r="K1004" s="39" t="n">
        <v>4</v>
      </c>
    </row>
    <row r="1005" customFormat="false" ht="15" hidden="false" customHeight="false" outlineLevel="0" collapsed="false">
      <c r="A1005" s="39" t="s">
        <v>1115</v>
      </c>
      <c r="B1005" s="40" t="n">
        <v>46282</v>
      </c>
      <c r="C1005" s="39" t="s">
        <v>50</v>
      </c>
      <c r="D1005" s="39" t="s">
        <v>38</v>
      </c>
      <c r="E1005" s="39" t="s">
        <v>110</v>
      </c>
      <c r="F1005" s="39" t="n">
        <v>3</v>
      </c>
      <c r="G1005" s="41" t="n">
        <v>368</v>
      </c>
      <c r="H1005" s="42" t="n">
        <f aca="false">F1005*G1005</f>
        <v>1104</v>
      </c>
      <c r="I1005" s="39" t="s">
        <v>34</v>
      </c>
      <c r="J1005" s="39" t="s">
        <v>42</v>
      </c>
      <c r="K1005" s="39" t="n">
        <v>5</v>
      </c>
    </row>
    <row r="1006" customFormat="false" ht="15" hidden="false" customHeight="false" outlineLevel="0" collapsed="false">
      <c r="A1006" s="39" t="s">
        <v>1116</v>
      </c>
      <c r="B1006" s="40" t="n">
        <v>46282</v>
      </c>
      <c r="C1006" s="39" t="s">
        <v>49</v>
      </c>
      <c r="D1006" s="39" t="s">
        <v>38</v>
      </c>
      <c r="E1006" s="39" t="s">
        <v>110</v>
      </c>
      <c r="F1006" s="39" t="n">
        <v>1</v>
      </c>
      <c r="G1006" s="41" t="n">
        <v>948</v>
      </c>
      <c r="H1006" s="42" t="n">
        <f aca="false">F1006*G1006</f>
        <v>948</v>
      </c>
      <c r="I1006" s="39" t="s">
        <v>34</v>
      </c>
      <c r="J1006" s="39" t="s">
        <v>42</v>
      </c>
      <c r="K1006" s="39" t="n">
        <v>5</v>
      </c>
    </row>
    <row r="1007" customFormat="false" ht="15" hidden="false" customHeight="false" outlineLevel="0" collapsed="false">
      <c r="A1007" s="39" t="s">
        <v>1117</v>
      </c>
      <c r="B1007" s="40" t="n">
        <v>46282</v>
      </c>
      <c r="C1007" s="39" t="s">
        <v>52</v>
      </c>
      <c r="D1007" s="39" t="s">
        <v>33</v>
      </c>
      <c r="E1007" s="39" t="s">
        <v>102</v>
      </c>
      <c r="F1007" s="39" t="n">
        <v>3</v>
      </c>
      <c r="G1007" s="41" t="n">
        <v>708</v>
      </c>
      <c r="H1007" s="42" t="n">
        <f aca="false">F1007*G1007</f>
        <v>2124</v>
      </c>
      <c r="I1007" s="39" t="s">
        <v>34</v>
      </c>
      <c r="J1007" s="39" t="s">
        <v>42</v>
      </c>
      <c r="K1007" s="39" t="n">
        <v>5</v>
      </c>
    </row>
    <row r="1008" customFormat="false" ht="15" hidden="false" customHeight="false" outlineLevel="0" collapsed="false">
      <c r="A1008" s="39" t="s">
        <v>1118</v>
      </c>
      <c r="B1008" s="40" t="n">
        <v>46282</v>
      </c>
      <c r="C1008" s="39" t="s">
        <v>51</v>
      </c>
      <c r="D1008" s="39" t="s">
        <v>35</v>
      </c>
      <c r="E1008" s="39" t="s">
        <v>125</v>
      </c>
      <c r="F1008" s="39" t="n">
        <v>1</v>
      </c>
      <c r="G1008" s="41" t="n">
        <v>788</v>
      </c>
      <c r="H1008" s="42" t="n">
        <f aca="false">F1008*G1008</f>
        <v>788</v>
      </c>
      <c r="I1008" s="39" t="s">
        <v>36</v>
      </c>
      <c r="J1008" s="39" t="s">
        <v>42</v>
      </c>
      <c r="K1008" s="39" t="n">
        <v>4</v>
      </c>
    </row>
    <row r="1009" customFormat="false" ht="15" hidden="false" customHeight="false" outlineLevel="0" collapsed="false">
      <c r="A1009" s="39" t="s">
        <v>1119</v>
      </c>
      <c r="B1009" s="40" t="n">
        <v>46283</v>
      </c>
      <c r="C1009" s="39" t="s">
        <v>51</v>
      </c>
      <c r="D1009" s="39" t="s">
        <v>35</v>
      </c>
      <c r="E1009" s="39" t="s">
        <v>95</v>
      </c>
      <c r="F1009" s="39" t="n">
        <v>1</v>
      </c>
      <c r="G1009" s="41" t="n">
        <v>368</v>
      </c>
      <c r="H1009" s="42" t="n">
        <f aca="false">F1009*G1009</f>
        <v>368</v>
      </c>
      <c r="I1009" s="39" t="s">
        <v>34</v>
      </c>
      <c r="J1009" s="39" t="s">
        <v>42</v>
      </c>
      <c r="K1009" s="39" t="n">
        <v>3</v>
      </c>
    </row>
    <row r="1010" customFormat="false" ht="15" hidden="false" customHeight="false" outlineLevel="0" collapsed="false">
      <c r="A1010" s="39" t="s">
        <v>1120</v>
      </c>
      <c r="B1010" s="40" t="n">
        <v>46283</v>
      </c>
      <c r="C1010" s="39" t="s">
        <v>50</v>
      </c>
      <c r="D1010" s="39" t="s">
        <v>37</v>
      </c>
      <c r="E1010" s="39" t="s">
        <v>97</v>
      </c>
      <c r="F1010" s="39" t="n">
        <v>1</v>
      </c>
      <c r="G1010" s="41" t="n">
        <v>598</v>
      </c>
      <c r="H1010" s="42" t="n">
        <f aca="false">F1010*G1010</f>
        <v>598</v>
      </c>
      <c r="I1010" s="39" t="s">
        <v>36</v>
      </c>
      <c r="J1010" s="39" t="s">
        <v>42</v>
      </c>
      <c r="K1010" s="39" t="n">
        <v>6</v>
      </c>
    </row>
    <row r="1011" customFormat="false" ht="15" hidden="false" customHeight="false" outlineLevel="0" collapsed="false">
      <c r="A1011" s="39" t="s">
        <v>1121</v>
      </c>
      <c r="B1011" s="40" t="n">
        <v>46283</v>
      </c>
      <c r="C1011" s="39" t="s">
        <v>101</v>
      </c>
      <c r="D1011" s="39" t="s">
        <v>39</v>
      </c>
      <c r="E1011" s="39" t="s">
        <v>99</v>
      </c>
      <c r="F1011" s="39" t="n">
        <v>1</v>
      </c>
      <c r="G1011" s="41" t="n">
        <v>998</v>
      </c>
      <c r="H1011" s="42" t="n">
        <f aca="false">F1011*G1011</f>
        <v>998</v>
      </c>
      <c r="I1011" s="39" t="s">
        <v>34</v>
      </c>
      <c r="J1011" s="39" t="s">
        <v>42</v>
      </c>
      <c r="K1011" s="39" t="n">
        <v>3</v>
      </c>
    </row>
    <row r="1012" customFormat="false" ht="15" hidden="false" customHeight="false" outlineLevel="0" collapsed="false">
      <c r="A1012" s="39" t="s">
        <v>1122</v>
      </c>
      <c r="B1012" s="40" t="n">
        <v>46283</v>
      </c>
      <c r="C1012" s="39" t="s">
        <v>50</v>
      </c>
      <c r="D1012" s="39" t="s">
        <v>33</v>
      </c>
      <c r="E1012" s="39" t="s">
        <v>117</v>
      </c>
      <c r="F1012" s="39" t="n">
        <v>1</v>
      </c>
      <c r="G1012" s="41" t="n">
        <v>378</v>
      </c>
      <c r="H1012" s="42" t="n">
        <f aca="false">F1012*G1012</f>
        <v>378</v>
      </c>
      <c r="I1012" s="39" t="s">
        <v>34</v>
      </c>
      <c r="J1012" s="39" t="s">
        <v>42</v>
      </c>
      <c r="K1012" s="39" t="n">
        <v>7</v>
      </c>
    </row>
    <row r="1013" customFormat="false" ht="15" hidden="false" customHeight="false" outlineLevel="0" collapsed="false">
      <c r="A1013" s="39" t="s">
        <v>1123</v>
      </c>
      <c r="B1013" s="40" t="n">
        <v>46283</v>
      </c>
      <c r="C1013" s="39" t="s">
        <v>109</v>
      </c>
      <c r="D1013" s="39" t="s">
        <v>39</v>
      </c>
      <c r="E1013" s="39" t="s">
        <v>105</v>
      </c>
      <c r="F1013" s="39" t="n">
        <v>3</v>
      </c>
      <c r="G1013" s="41" t="n">
        <v>578</v>
      </c>
      <c r="H1013" s="42" t="n">
        <f aca="false">F1013*G1013</f>
        <v>1734</v>
      </c>
      <c r="I1013" s="39" t="s">
        <v>36</v>
      </c>
      <c r="J1013" s="39" t="s">
        <v>43</v>
      </c>
      <c r="K1013" s="39" t="n">
        <v>5</v>
      </c>
    </row>
    <row r="1014" customFormat="false" ht="15" hidden="false" customHeight="false" outlineLevel="0" collapsed="false">
      <c r="A1014" s="39" t="s">
        <v>1124</v>
      </c>
      <c r="B1014" s="40" t="n">
        <v>46283</v>
      </c>
      <c r="C1014" s="39" t="s">
        <v>50</v>
      </c>
      <c r="D1014" s="39" t="s">
        <v>35</v>
      </c>
      <c r="E1014" s="39" t="s">
        <v>159</v>
      </c>
      <c r="F1014" s="39" t="n">
        <v>1</v>
      </c>
      <c r="G1014" s="41" t="n">
        <v>258</v>
      </c>
      <c r="H1014" s="42" t="n">
        <f aca="false">F1014*G1014</f>
        <v>258</v>
      </c>
      <c r="I1014" s="39" t="s">
        <v>34</v>
      </c>
      <c r="J1014" s="39" t="s">
        <v>42</v>
      </c>
      <c r="K1014" s="39" t="n">
        <v>7</v>
      </c>
    </row>
    <row r="1015" customFormat="false" ht="15" hidden="false" customHeight="false" outlineLevel="0" collapsed="false">
      <c r="A1015" s="39" t="s">
        <v>1125</v>
      </c>
      <c r="B1015" s="40" t="n">
        <v>46283</v>
      </c>
      <c r="C1015" s="39" t="s">
        <v>52</v>
      </c>
      <c r="D1015" s="39" t="s">
        <v>33</v>
      </c>
      <c r="E1015" s="39" t="s">
        <v>117</v>
      </c>
      <c r="F1015" s="39" t="n">
        <v>1</v>
      </c>
      <c r="G1015" s="41" t="n">
        <v>518</v>
      </c>
      <c r="H1015" s="42" t="n">
        <f aca="false">F1015*G1015</f>
        <v>518</v>
      </c>
      <c r="I1015" s="39" t="s">
        <v>36</v>
      </c>
      <c r="J1015" s="39" t="s">
        <v>42</v>
      </c>
      <c r="K1015" s="39" t="n">
        <v>3</v>
      </c>
    </row>
    <row r="1016" customFormat="false" ht="15" hidden="false" customHeight="false" outlineLevel="0" collapsed="false">
      <c r="A1016" s="39" t="s">
        <v>1126</v>
      </c>
      <c r="B1016" s="40" t="n">
        <v>46283</v>
      </c>
      <c r="C1016" s="39" t="s">
        <v>109</v>
      </c>
      <c r="D1016" s="39" t="s">
        <v>33</v>
      </c>
      <c r="E1016" s="39" t="s">
        <v>117</v>
      </c>
      <c r="F1016" s="39" t="n">
        <v>3</v>
      </c>
      <c r="G1016" s="41" t="n">
        <v>738</v>
      </c>
      <c r="H1016" s="42" t="n">
        <f aca="false">F1016*G1016</f>
        <v>2214</v>
      </c>
      <c r="I1016" s="39" t="s">
        <v>36</v>
      </c>
      <c r="J1016" s="39" t="s">
        <v>42</v>
      </c>
      <c r="K1016" s="39" t="n">
        <v>5</v>
      </c>
    </row>
    <row r="1017" customFormat="false" ht="15" hidden="false" customHeight="false" outlineLevel="0" collapsed="false">
      <c r="A1017" s="39" t="s">
        <v>1127</v>
      </c>
      <c r="B1017" s="40" t="n">
        <v>46283</v>
      </c>
      <c r="C1017" s="39" t="s">
        <v>51</v>
      </c>
      <c r="D1017" s="39" t="s">
        <v>33</v>
      </c>
      <c r="E1017" s="39" t="s">
        <v>114</v>
      </c>
      <c r="F1017" s="39" t="n">
        <v>1</v>
      </c>
      <c r="G1017" s="41" t="n">
        <v>458</v>
      </c>
      <c r="H1017" s="42" t="n">
        <f aca="false">F1017*G1017</f>
        <v>458</v>
      </c>
      <c r="I1017" s="39" t="s">
        <v>34</v>
      </c>
      <c r="J1017" s="39" t="s">
        <v>42</v>
      </c>
      <c r="K1017" s="39" t="n">
        <v>5</v>
      </c>
    </row>
    <row r="1018" customFormat="false" ht="15" hidden="false" customHeight="false" outlineLevel="0" collapsed="false">
      <c r="A1018" s="39" t="s">
        <v>1128</v>
      </c>
      <c r="B1018" s="40" t="n">
        <v>46283</v>
      </c>
      <c r="C1018" s="39" t="s">
        <v>49</v>
      </c>
      <c r="D1018" s="39" t="s">
        <v>35</v>
      </c>
      <c r="E1018" s="39" t="s">
        <v>95</v>
      </c>
      <c r="F1018" s="39" t="n">
        <v>1</v>
      </c>
      <c r="G1018" s="41" t="n">
        <v>508</v>
      </c>
      <c r="H1018" s="42" t="n">
        <f aca="false">F1018*G1018</f>
        <v>508</v>
      </c>
      <c r="I1018" s="39" t="s">
        <v>34</v>
      </c>
      <c r="J1018" s="39" t="s">
        <v>42</v>
      </c>
      <c r="K1018" s="39" t="n">
        <v>4</v>
      </c>
    </row>
    <row r="1019" customFormat="false" ht="15" hidden="false" customHeight="false" outlineLevel="0" collapsed="false">
      <c r="A1019" s="39" t="s">
        <v>1129</v>
      </c>
      <c r="B1019" s="40" t="n">
        <v>46283</v>
      </c>
      <c r="C1019" s="39" t="s">
        <v>49</v>
      </c>
      <c r="D1019" s="39" t="s">
        <v>35</v>
      </c>
      <c r="E1019" s="39" t="s">
        <v>125</v>
      </c>
      <c r="F1019" s="39" t="n">
        <v>1</v>
      </c>
      <c r="G1019" s="41" t="n">
        <v>478</v>
      </c>
      <c r="H1019" s="42" t="n">
        <f aca="false">F1019*G1019</f>
        <v>478</v>
      </c>
      <c r="I1019" s="39" t="s">
        <v>36</v>
      </c>
      <c r="J1019" s="39" t="s">
        <v>42</v>
      </c>
      <c r="K1019" s="39" t="n">
        <v>4</v>
      </c>
    </row>
    <row r="1020" customFormat="false" ht="15" hidden="false" customHeight="false" outlineLevel="0" collapsed="false">
      <c r="A1020" s="39" t="s">
        <v>1130</v>
      </c>
      <c r="B1020" s="40" t="n">
        <v>46283</v>
      </c>
      <c r="C1020" s="39" t="s">
        <v>101</v>
      </c>
      <c r="D1020" s="39" t="s">
        <v>33</v>
      </c>
      <c r="E1020" s="39" t="s">
        <v>136</v>
      </c>
      <c r="F1020" s="39" t="n">
        <v>3</v>
      </c>
      <c r="G1020" s="41" t="n">
        <v>548</v>
      </c>
      <c r="H1020" s="42" t="n">
        <f aca="false">F1020*G1020</f>
        <v>1644</v>
      </c>
      <c r="I1020" s="39" t="s">
        <v>34</v>
      </c>
      <c r="J1020" s="39" t="s">
        <v>45</v>
      </c>
      <c r="K1020" s="39"/>
    </row>
    <row r="1021" customFormat="false" ht="15" hidden="false" customHeight="false" outlineLevel="0" collapsed="false">
      <c r="A1021" s="39" t="s">
        <v>1131</v>
      </c>
      <c r="B1021" s="40" t="n">
        <v>46283</v>
      </c>
      <c r="C1021" s="39" t="s">
        <v>101</v>
      </c>
      <c r="D1021" s="39" t="s">
        <v>33</v>
      </c>
      <c r="E1021" s="39" t="s">
        <v>136</v>
      </c>
      <c r="F1021" s="39" t="n">
        <v>1</v>
      </c>
      <c r="G1021" s="41" t="n">
        <v>778</v>
      </c>
      <c r="H1021" s="42" t="n">
        <f aca="false">F1021*G1021</f>
        <v>778</v>
      </c>
      <c r="I1021" s="39" t="s">
        <v>34</v>
      </c>
      <c r="J1021" s="39" t="s">
        <v>42</v>
      </c>
      <c r="K1021" s="39" t="n">
        <v>3</v>
      </c>
    </row>
    <row r="1022" customFormat="false" ht="15" hidden="false" customHeight="false" outlineLevel="0" collapsed="false">
      <c r="A1022" s="39" t="s">
        <v>1132</v>
      </c>
      <c r="B1022" s="40" t="n">
        <v>46283</v>
      </c>
      <c r="C1022" s="39" t="s">
        <v>101</v>
      </c>
      <c r="D1022" s="39" t="s">
        <v>33</v>
      </c>
      <c r="E1022" s="39" t="s">
        <v>117</v>
      </c>
      <c r="F1022" s="39" t="n">
        <v>1</v>
      </c>
      <c r="G1022" s="41" t="n">
        <v>778</v>
      </c>
      <c r="H1022" s="42" t="n">
        <f aca="false">F1022*G1022</f>
        <v>778</v>
      </c>
      <c r="I1022" s="39" t="s">
        <v>36</v>
      </c>
      <c r="J1022" s="39" t="s">
        <v>42</v>
      </c>
      <c r="K1022" s="39" t="n">
        <v>3</v>
      </c>
    </row>
    <row r="1023" customFormat="false" ht="15" hidden="false" customHeight="false" outlineLevel="0" collapsed="false">
      <c r="A1023" s="39" t="s">
        <v>1133</v>
      </c>
      <c r="B1023" s="40" t="n">
        <v>46284</v>
      </c>
      <c r="C1023" s="39" t="s">
        <v>53</v>
      </c>
      <c r="D1023" s="39" t="s">
        <v>35</v>
      </c>
      <c r="E1023" s="39" t="s">
        <v>95</v>
      </c>
      <c r="F1023" s="39" t="n">
        <v>1</v>
      </c>
      <c r="G1023" s="41" t="n">
        <v>758</v>
      </c>
      <c r="H1023" s="42" t="n">
        <f aca="false">F1023*G1023</f>
        <v>758</v>
      </c>
      <c r="I1023" s="39" t="s">
        <v>34</v>
      </c>
      <c r="J1023" s="39" t="s">
        <v>42</v>
      </c>
      <c r="K1023" s="39" t="n">
        <v>2</v>
      </c>
    </row>
    <row r="1024" customFormat="false" ht="15" hidden="false" customHeight="false" outlineLevel="0" collapsed="false">
      <c r="A1024" s="39" t="s">
        <v>1134</v>
      </c>
      <c r="B1024" s="40" t="n">
        <v>46284</v>
      </c>
      <c r="C1024" s="39" t="s">
        <v>52</v>
      </c>
      <c r="D1024" s="39" t="s">
        <v>37</v>
      </c>
      <c r="E1024" s="39" t="s">
        <v>131</v>
      </c>
      <c r="F1024" s="39" t="n">
        <v>3</v>
      </c>
      <c r="G1024" s="41" t="n">
        <v>538</v>
      </c>
      <c r="H1024" s="42" t="n">
        <f aca="false">F1024*G1024</f>
        <v>1614</v>
      </c>
      <c r="I1024" s="39" t="s">
        <v>34</v>
      </c>
      <c r="J1024" s="39" t="s">
        <v>42</v>
      </c>
      <c r="K1024" s="39" t="n">
        <v>3</v>
      </c>
    </row>
    <row r="1025" customFormat="false" ht="15" hidden="false" customHeight="false" outlineLevel="0" collapsed="false">
      <c r="A1025" s="39" t="s">
        <v>1135</v>
      </c>
      <c r="B1025" s="40" t="n">
        <v>46284</v>
      </c>
      <c r="C1025" s="39" t="s">
        <v>109</v>
      </c>
      <c r="D1025" s="39" t="s">
        <v>38</v>
      </c>
      <c r="E1025" s="39" t="s">
        <v>121</v>
      </c>
      <c r="F1025" s="39" t="n">
        <v>1</v>
      </c>
      <c r="G1025" s="41" t="n">
        <v>418</v>
      </c>
      <c r="H1025" s="42" t="n">
        <f aca="false">F1025*G1025</f>
        <v>418</v>
      </c>
      <c r="I1025" s="39" t="s">
        <v>34</v>
      </c>
      <c r="J1025" s="39" t="s">
        <v>42</v>
      </c>
      <c r="K1025" s="39" t="n">
        <v>7</v>
      </c>
    </row>
    <row r="1026" customFormat="false" ht="15" hidden="false" customHeight="false" outlineLevel="0" collapsed="false">
      <c r="A1026" s="39" t="s">
        <v>1136</v>
      </c>
      <c r="B1026" s="40" t="n">
        <v>46284</v>
      </c>
      <c r="C1026" s="39" t="s">
        <v>50</v>
      </c>
      <c r="D1026" s="39" t="s">
        <v>33</v>
      </c>
      <c r="E1026" s="39" t="s">
        <v>102</v>
      </c>
      <c r="F1026" s="39" t="n">
        <v>1</v>
      </c>
      <c r="G1026" s="41" t="n">
        <v>578</v>
      </c>
      <c r="H1026" s="42" t="n">
        <f aca="false">F1026*G1026</f>
        <v>578</v>
      </c>
      <c r="I1026" s="39" t="s">
        <v>34</v>
      </c>
      <c r="J1026" s="39" t="s">
        <v>42</v>
      </c>
      <c r="K1026" s="39" t="n">
        <v>4</v>
      </c>
    </row>
    <row r="1027" customFormat="false" ht="15" hidden="false" customHeight="false" outlineLevel="0" collapsed="false">
      <c r="A1027" s="39" t="s">
        <v>1137</v>
      </c>
      <c r="B1027" s="40" t="n">
        <v>46284</v>
      </c>
      <c r="C1027" s="39" t="s">
        <v>52</v>
      </c>
      <c r="D1027" s="39" t="s">
        <v>33</v>
      </c>
      <c r="E1027" s="39" t="s">
        <v>102</v>
      </c>
      <c r="F1027" s="39" t="n">
        <v>1</v>
      </c>
      <c r="G1027" s="41" t="n">
        <v>618</v>
      </c>
      <c r="H1027" s="42" t="n">
        <f aca="false">F1027*G1027</f>
        <v>618</v>
      </c>
      <c r="I1027" s="39" t="s">
        <v>36</v>
      </c>
      <c r="J1027" s="39" t="s">
        <v>47</v>
      </c>
      <c r="K1027" s="39"/>
    </row>
    <row r="1028" customFormat="false" ht="15" hidden="false" customHeight="false" outlineLevel="0" collapsed="false">
      <c r="A1028" s="39" t="s">
        <v>1138</v>
      </c>
      <c r="B1028" s="40" t="n">
        <v>46284</v>
      </c>
      <c r="C1028" s="39" t="s">
        <v>51</v>
      </c>
      <c r="D1028" s="39" t="s">
        <v>37</v>
      </c>
      <c r="E1028" s="39" t="s">
        <v>141</v>
      </c>
      <c r="F1028" s="39" t="n">
        <v>1</v>
      </c>
      <c r="G1028" s="41" t="n">
        <v>568</v>
      </c>
      <c r="H1028" s="42" t="n">
        <f aca="false">F1028*G1028</f>
        <v>568</v>
      </c>
      <c r="I1028" s="39" t="s">
        <v>34</v>
      </c>
      <c r="J1028" s="39" t="s">
        <v>42</v>
      </c>
      <c r="K1028" s="39" t="n">
        <v>6</v>
      </c>
    </row>
    <row r="1029" customFormat="false" ht="15" hidden="false" customHeight="false" outlineLevel="0" collapsed="false">
      <c r="A1029" s="39" t="s">
        <v>1139</v>
      </c>
      <c r="B1029" s="40" t="n">
        <v>46284</v>
      </c>
      <c r="C1029" s="39" t="s">
        <v>53</v>
      </c>
      <c r="D1029" s="39" t="s">
        <v>38</v>
      </c>
      <c r="E1029" s="39" t="s">
        <v>110</v>
      </c>
      <c r="F1029" s="39" t="n">
        <v>1</v>
      </c>
      <c r="G1029" s="41" t="n">
        <v>608</v>
      </c>
      <c r="H1029" s="42" t="n">
        <f aca="false">F1029*G1029</f>
        <v>608</v>
      </c>
      <c r="I1029" s="39" t="s">
        <v>36</v>
      </c>
      <c r="J1029" s="39" t="s">
        <v>42</v>
      </c>
      <c r="K1029" s="39" t="n">
        <v>7</v>
      </c>
    </row>
    <row r="1030" customFormat="false" ht="15" hidden="false" customHeight="false" outlineLevel="0" collapsed="false">
      <c r="A1030" s="39" t="s">
        <v>1140</v>
      </c>
      <c r="B1030" s="40" t="n">
        <v>46284</v>
      </c>
      <c r="C1030" s="39" t="s">
        <v>48</v>
      </c>
      <c r="D1030" s="39" t="s">
        <v>33</v>
      </c>
      <c r="E1030" s="39" t="s">
        <v>102</v>
      </c>
      <c r="F1030" s="39" t="n">
        <v>1</v>
      </c>
      <c r="G1030" s="41" t="n">
        <v>498</v>
      </c>
      <c r="H1030" s="42" t="n">
        <f aca="false">F1030*G1030</f>
        <v>498</v>
      </c>
      <c r="I1030" s="39" t="s">
        <v>34</v>
      </c>
      <c r="J1030" s="39" t="s">
        <v>42</v>
      </c>
      <c r="K1030" s="39" t="n">
        <v>3</v>
      </c>
    </row>
    <row r="1031" customFormat="false" ht="15" hidden="false" customHeight="false" outlineLevel="0" collapsed="false">
      <c r="A1031" s="39" t="s">
        <v>1141</v>
      </c>
      <c r="B1031" s="40" t="n">
        <v>46284</v>
      </c>
      <c r="C1031" s="39" t="s">
        <v>48</v>
      </c>
      <c r="D1031" s="39" t="s">
        <v>38</v>
      </c>
      <c r="E1031" s="39" t="s">
        <v>121</v>
      </c>
      <c r="F1031" s="39" t="n">
        <v>1</v>
      </c>
      <c r="G1031" s="41" t="n">
        <v>608</v>
      </c>
      <c r="H1031" s="42" t="n">
        <f aca="false">F1031*G1031</f>
        <v>608</v>
      </c>
      <c r="I1031" s="39" t="s">
        <v>34</v>
      </c>
      <c r="J1031" s="39" t="s">
        <v>42</v>
      </c>
      <c r="K1031" s="39" t="n">
        <v>7</v>
      </c>
    </row>
    <row r="1032" customFormat="false" ht="15" hidden="false" customHeight="false" outlineLevel="0" collapsed="false">
      <c r="A1032" s="39" t="s">
        <v>1142</v>
      </c>
      <c r="B1032" s="40" t="n">
        <v>46284</v>
      </c>
      <c r="C1032" s="39" t="s">
        <v>51</v>
      </c>
      <c r="D1032" s="39" t="s">
        <v>37</v>
      </c>
      <c r="E1032" s="39" t="s">
        <v>141</v>
      </c>
      <c r="F1032" s="39" t="n">
        <v>2</v>
      </c>
      <c r="G1032" s="41" t="n">
        <v>568</v>
      </c>
      <c r="H1032" s="42" t="n">
        <f aca="false">F1032*G1032</f>
        <v>1136</v>
      </c>
      <c r="I1032" s="39" t="s">
        <v>34</v>
      </c>
      <c r="J1032" s="39" t="s">
        <v>42</v>
      </c>
      <c r="K1032" s="39" t="n">
        <v>4</v>
      </c>
    </row>
    <row r="1033" customFormat="false" ht="15" hidden="false" customHeight="false" outlineLevel="0" collapsed="false">
      <c r="A1033" s="39" t="s">
        <v>1143</v>
      </c>
      <c r="B1033" s="40" t="n">
        <v>46284</v>
      </c>
      <c r="C1033" s="39" t="s">
        <v>53</v>
      </c>
      <c r="D1033" s="39" t="s">
        <v>33</v>
      </c>
      <c r="E1033" s="39" t="s">
        <v>136</v>
      </c>
      <c r="F1033" s="39" t="n">
        <v>1</v>
      </c>
      <c r="G1033" s="41" t="n">
        <v>588</v>
      </c>
      <c r="H1033" s="42" t="n">
        <f aca="false">F1033*G1033</f>
        <v>588</v>
      </c>
      <c r="I1033" s="39" t="s">
        <v>36</v>
      </c>
      <c r="J1033" s="39" t="s">
        <v>42</v>
      </c>
      <c r="K1033" s="39" t="n">
        <v>2</v>
      </c>
    </row>
    <row r="1034" customFormat="false" ht="15" hidden="false" customHeight="false" outlineLevel="0" collapsed="false">
      <c r="A1034" s="39" t="s">
        <v>1144</v>
      </c>
      <c r="B1034" s="40" t="n">
        <v>46284</v>
      </c>
      <c r="C1034" s="39" t="s">
        <v>50</v>
      </c>
      <c r="D1034" s="39" t="s">
        <v>35</v>
      </c>
      <c r="E1034" s="39" t="s">
        <v>159</v>
      </c>
      <c r="F1034" s="39" t="n">
        <v>1</v>
      </c>
      <c r="G1034" s="41" t="n">
        <v>458</v>
      </c>
      <c r="H1034" s="42" t="n">
        <f aca="false">F1034*G1034</f>
        <v>458</v>
      </c>
      <c r="I1034" s="39" t="s">
        <v>36</v>
      </c>
      <c r="J1034" s="39" t="s">
        <v>43</v>
      </c>
      <c r="K1034" s="39" t="n">
        <v>2</v>
      </c>
    </row>
    <row r="1035" customFormat="false" ht="15" hidden="false" customHeight="false" outlineLevel="0" collapsed="false">
      <c r="A1035" s="39" t="s">
        <v>1145</v>
      </c>
      <c r="B1035" s="40" t="n">
        <v>46284</v>
      </c>
      <c r="C1035" s="39" t="s">
        <v>101</v>
      </c>
      <c r="D1035" s="39" t="s">
        <v>33</v>
      </c>
      <c r="E1035" s="39" t="s">
        <v>102</v>
      </c>
      <c r="F1035" s="39" t="n">
        <v>1</v>
      </c>
      <c r="G1035" s="41" t="n">
        <v>418</v>
      </c>
      <c r="H1035" s="42" t="n">
        <f aca="false">F1035*G1035</f>
        <v>418</v>
      </c>
      <c r="I1035" s="39" t="s">
        <v>34</v>
      </c>
      <c r="J1035" s="39" t="s">
        <v>43</v>
      </c>
      <c r="K1035" s="39" t="n">
        <v>4</v>
      </c>
    </row>
    <row r="1036" customFormat="false" ht="15" hidden="false" customHeight="false" outlineLevel="0" collapsed="false">
      <c r="A1036" s="39" t="s">
        <v>1146</v>
      </c>
      <c r="B1036" s="40" t="n">
        <v>46284</v>
      </c>
      <c r="C1036" s="39" t="s">
        <v>51</v>
      </c>
      <c r="D1036" s="39" t="s">
        <v>38</v>
      </c>
      <c r="E1036" s="39" t="s">
        <v>110</v>
      </c>
      <c r="F1036" s="39" t="n">
        <v>3</v>
      </c>
      <c r="G1036" s="41" t="n">
        <v>448</v>
      </c>
      <c r="H1036" s="42" t="n">
        <f aca="false">F1036*G1036</f>
        <v>1344</v>
      </c>
      <c r="I1036" s="39" t="s">
        <v>36</v>
      </c>
      <c r="J1036" s="39" t="s">
        <v>43</v>
      </c>
      <c r="K1036" s="39" t="n">
        <v>3</v>
      </c>
    </row>
    <row r="1037" customFormat="false" ht="15" hidden="false" customHeight="false" outlineLevel="0" collapsed="false">
      <c r="A1037" s="39" t="s">
        <v>1147</v>
      </c>
      <c r="B1037" s="40" t="n">
        <v>46284</v>
      </c>
      <c r="C1037" s="39" t="s">
        <v>52</v>
      </c>
      <c r="D1037" s="39" t="s">
        <v>33</v>
      </c>
      <c r="E1037" s="39" t="s">
        <v>102</v>
      </c>
      <c r="F1037" s="39" t="n">
        <v>1</v>
      </c>
      <c r="G1037" s="41" t="n">
        <v>618</v>
      </c>
      <c r="H1037" s="42" t="n">
        <f aca="false">F1037*G1037</f>
        <v>618</v>
      </c>
      <c r="I1037" s="39" t="s">
        <v>34</v>
      </c>
      <c r="J1037" s="39" t="s">
        <v>42</v>
      </c>
      <c r="K1037" s="39" t="n">
        <v>4</v>
      </c>
    </row>
    <row r="1038" customFormat="false" ht="15" hidden="false" customHeight="false" outlineLevel="0" collapsed="false">
      <c r="A1038" s="39" t="s">
        <v>1148</v>
      </c>
      <c r="B1038" s="40" t="n">
        <v>46284</v>
      </c>
      <c r="C1038" s="39" t="s">
        <v>109</v>
      </c>
      <c r="D1038" s="39" t="s">
        <v>37</v>
      </c>
      <c r="E1038" s="39" t="s">
        <v>131</v>
      </c>
      <c r="F1038" s="39" t="n">
        <v>1</v>
      </c>
      <c r="G1038" s="41" t="n">
        <v>228</v>
      </c>
      <c r="H1038" s="42" t="n">
        <f aca="false">F1038*G1038</f>
        <v>228</v>
      </c>
      <c r="I1038" s="39" t="s">
        <v>34</v>
      </c>
      <c r="J1038" s="39" t="s">
        <v>42</v>
      </c>
      <c r="K1038" s="39" t="n">
        <v>4</v>
      </c>
    </row>
    <row r="1039" customFormat="false" ht="15" hidden="false" customHeight="false" outlineLevel="0" collapsed="false">
      <c r="A1039" s="39" t="s">
        <v>1149</v>
      </c>
      <c r="B1039" s="40" t="n">
        <v>46284</v>
      </c>
      <c r="C1039" s="39" t="s">
        <v>51</v>
      </c>
      <c r="D1039" s="39" t="s">
        <v>37</v>
      </c>
      <c r="E1039" s="39" t="s">
        <v>141</v>
      </c>
      <c r="F1039" s="39" t="n">
        <v>1</v>
      </c>
      <c r="G1039" s="41" t="n">
        <v>488</v>
      </c>
      <c r="H1039" s="42" t="n">
        <f aca="false">F1039*G1039</f>
        <v>488</v>
      </c>
      <c r="I1039" s="39" t="s">
        <v>34</v>
      </c>
      <c r="J1039" s="39" t="s">
        <v>42</v>
      </c>
      <c r="K1039" s="39" t="n">
        <v>3</v>
      </c>
    </row>
    <row r="1040" customFormat="false" ht="15" hidden="false" customHeight="false" outlineLevel="0" collapsed="false">
      <c r="A1040" s="39" t="s">
        <v>1150</v>
      </c>
      <c r="B1040" s="40" t="n">
        <v>46284</v>
      </c>
      <c r="C1040" s="39" t="s">
        <v>49</v>
      </c>
      <c r="D1040" s="39" t="s">
        <v>37</v>
      </c>
      <c r="E1040" s="39" t="s">
        <v>141</v>
      </c>
      <c r="F1040" s="39" t="n">
        <v>1</v>
      </c>
      <c r="G1040" s="41" t="n">
        <v>538</v>
      </c>
      <c r="H1040" s="42" t="n">
        <f aca="false">F1040*G1040</f>
        <v>538</v>
      </c>
      <c r="I1040" s="39" t="s">
        <v>34</v>
      </c>
      <c r="J1040" s="39" t="s">
        <v>42</v>
      </c>
      <c r="K1040" s="39" t="n">
        <v>3</v>
      </c>
    </row>
    <row r="1041" customFormat="false" ht="15" hidden="false" customHeight="false" outlineLevel="0" collapsed="false">
      <c r="A1041" s="39" t="s">
        <v>1151</v>
      </c>
      <c r="B1041" s="40" t="n">
        <v>46284</v>
      </c>
      <c r="C1041" s="39" t="s">
        <v>53</v>
      </c>
      <c r="D1041" s="39" t="s">
        <v>33</v>
      </c>
      <c r="E1041" s="39" t="s">
        <v>102</v>
      </c>
      <c r="F1041" s="39" t="n">
        <v>1</v>
      </c>
      <c r="G1041" s="41" t="n">
        <v>478</v>
      </c>
      <c r="H1041" s="42" t="n">
        <f aca="false">F1041*G1041</f>
        <v>478</v>
      </c>
      <c r="I1041" s="39" t="s">
        <v>36</v>
      </c>
      <c r="J1041" s="39" t="s">
        <v>47</v>
      </c>
      <c r="K1041" s="39"/>
    </row>
    <row r="1042" customFormat="false" ht="15" hidden="false" customHeight="false" outlineLevel="0" collapsed="false">
      <c r="A1042" s="39" t="s">
        <v>1152</v>
      </c>
      <c r="B1042" s="40" t="n">
        <v>46284</v>
      </c>
      <c r="C1042" s="39" t="s">
        <v>52</v>
      </c>
      <c r="D1042" s="39" t="s">
        <v>39</v>
      </c>
      <c r="E1042" s="39" t="s">
        <v>99</v>
      </c>
      <c r="F1042" s="39" t="n">
        <v>1</v>
      </c>
      <c r="G1042" s="41" t="n">
        <v>558</v>
      </c>
      <c r="H1042" s="42" t="n">
        <f aca="false">F1042*G1042</f>
        <v>558</v>
      </c>
      <c r="I1042" s="39" t="s">
        <v>36</v>
      </c>
      <c r="J1042" s="39" t="s">
        <v>43</v>
      </c>
      <c r="K1042" s="39" t="n">
        <v>2</v>
      </c>
    </row>
    <row r="1043" customFormat="false" ht="15" hidden="false" customHeight="false" outlineLevel="0" collapsed="false">
      <c r="A1043" s="39" t="s">
        <v>1153</v>
      </c>
      <c r="B1043" s="40" t="n">
        <v>46285</v>
      </c>
      <c r="C1043" s="39" t="s">
        <v>101</v>
      </c>
      <c r="D1043" s="39" t="s">
        <v>33</v>
      </c>
      <c r="E1043" s="39" t="s">
        <v>114</v>
      </c>
      <c r="F1043" s="39" t="n">
        <v>2</v>
      </c>
      <c r="G1043" s="41" t="n">
        <v>758</v>
      </c>
      <c r="H1043" s="42" t="n">
        <f aca="false">F1043*G1043</f>
        <v>1516</v>
      </c>
      <c r="I1043" s="39" t="s">
        <v>36</v>
      </c>
      <c r="J1043" s="39" t="s">
        <v>42</v>
      </c>
      <c r="K1043" s="39" t="n">
        <v>5</v>
      </c>
    </row>
    <row r="1044" customFormat="false" ht="15" hidden="false" customHeight="false" outlineLevel="0" collapsed="false">
      <c r="A1044" s="39" t="s">
        <v>1154</v>
      </c>
      <c r="B1044" s="40" t="n">
        <v>46285</v>
      </c>
      <c r="C1044" s="39" t="s">
        <v>50</v>
      </c>
      <c r="D1044" s="39" t="s">
        <v>38</v>
      </c>
      <c r="E1044" s="39" t="s">
        <v>110</v>
      </c>
      <c r="F1044" s="39" t="n">
        <v>1</v>
      </c>
      <c r="G1044" s="41" t="n">
        <v>378</v>
      </c>
      <c r="H1044" s="42" t="n">
        <f aca="false">F1044*G1044</f>
        <v>378</v>
      </c>
      <c r="I1044" s="39" t="s">
        <v>34</v>
      </c>
      <c r="J1044" s="39" t="s">
        <v>43</v>
      </c>
      <c r="K1044" s="39" t="n">
        <v>4</v>
      </c>
    </row>
    <row r="1045" customFormat="false" ht="15" hidden="false" customHeight="false" outlineLevel="0" collapsed="false">
      <c r="A1045" s="39" t="s">
        <v>1155</v>
      </c>
      <c r="B1045" s="40" t="n">
        <v>46285</v>
      </c>
      <c r="C1045" s="39" t="s">
        <v>50</v>
      </c>
      <c r="D1045" s="39" t="s">
        <v>38</v>
      </c>
      <c r="E1045" s="39" t="s">
        <v>121</v>
      </c>
      <c r="F1045" s="39" t="n">
        <v>2</v>
      </c>
      <c r="G1045" s="41" t="n">
        <v>908</v>
      </c>
      <c r="H1045" s="42" t="n">
        <f aca="false">F1045*G1045</f>
        <v>1816</v>
      </c>
      <c r="I1045" s="39" t="s">
        <v>34</v>
      </c>
      <c r="J1045" s="39" t="s">
        <v>42</v>
      </c>
      <c r="K1045" s="39" t="n">
        <v>3</v>
      </c>
    </row>
    <row r="1046" customFormat="false" ht="15" hidden="false" customHeight="false" outlineLevel="0" collapsed="false">
      <c r="A1046" s="39" t="s">
        <v>1156</v>
      </c>
      <c r="B1046" s="40" t="n">
        <v>46285</v>
      </c>
      <c r="C1046" s="39" t="s">
        <v>49</v>
      </c>
      <c r="D1046" s="39" t="s">
        <v>35</v>
      </c>
      <c r="E1046" s="39" t="s">
        <v>159</v>
      </c>
      <c r="F1046" s="39" t="n">
        <v>2</v>
      </c>
      <c r="G1046" s="41" t="n">
        <v>638</v>
      </c>
      <c r="H1046" s="42" t="n">
        <f aca="false">F1046*G1046</f>
        <v>1276</v>
      </c>
      <c r="I1046" s="39" t="s">
        <v>34</v>
      </c>
      <c r="J1046" s="39" t="s">
        <v>42</v>
      </c>
      <c r="K1046" s="39" t="n">
        <v>3</v>
      </c>
    </row>
    <row r="1047" customFormat="false" ht="15" hidden="false" customHeight="false" outlineLevel="0" collapsed="false">
      <c r="A1047" s="39" t="s">
        <v>1157</v>
      </c>
      <c r="B1047" s="40" t="n">
        <v>46285</v>
      </c>
      <c r="C1047" s="39" t="s">
        <v>52</v>
      </c>
      <c r="D1047" s="39" t="s">
        <v>38</v>
      </c>
      <c r="E1047" s="39" t="s">
        <v>107</v>
      </c>
      <c r="F1047" s="39" t="n">
        <v>1</v>
      </c>
      <c r="G1047" s="41" t="n">
        <v>738</v>
      </c>
      <c r="H1047" s="42" t="n">
        <f aca="false">F1047*G1047</f>
        <v>738</v>
      </c>
      <c r="I1047" s="39" t="s">
        <v>34</v>
      </c>
      <c r="J1047" s="39" t="s">
        <v>42</v>
      </c>
      <c r="K1047" s="39" t="n">
        <v>3</v>
      </c>
    </row>
    <row r="1048" customFormat="false" ht="15" hidden="false" customHeight="false" outlineLevel="0" collapsed="false">
      <c r="A1048" s="39" t="s">
        <v>1158</v>
      </c>
      <c r="B1048" s="40" t="n">
        <v>46285</v>
      </c>
      <c r="C1048" s="39" t="s">
        <v>52</v>
      </c>
      <c r="D1048" s="39" t="s">
        <v>38</v>
      </c>
      <c r="E1048" s="39" t="s">
        <v>121</v>
      </c>
      <c r="F1048" s="39" t="n">
        <v>1</v>
      </c>
      <c r="G1048" s="41" t="n">
        <v>668</v>
      </c>
      <c r="H1048" s="42" t="n">
        <f aca="false">F1048*G1048</f>
        <v>668</v>
      </c>
      <c r="I1048" s="39" t="s">
        <v>34</v>
      </c>
      <c r="J1048" s="39" t="s">
        <v>42</v>
      </c>
      <c r="K1048" s="39" t="n">
        <v>3</v>
      </c>
    </row>
    <row r="1049" customFormat="false" ht="15" hidden="false" customHeight="false" outlineLevel="0" collapsed="false">
      <c r="A1049" s="39" t="s">
        <v>1159</v>
      </c>
      <c r="B1049" s="40" t="n">
        <v>46285</v>
      </c>
      <c r="C1049" s="39" t="s">
        <v>48</v>
      </c>
      <c r="D1049" s="39" t="s">
        <v>37</v>
      </c>
      <c r="E1049" s="39" t="s">
        <v>141</v>
      </c>
      <c r="F1049" s="39" t="n">
        <v>1</v>
      </c>
      <c r="G1049" s="41" t="n">
        <v>358</v>
      </c>
      <c r="H1049" s="42" t="n">
        <f aca="false">F1049*G1049</f>
        <v>358</v>
      </c>
      <c r="I1049" s="39" t="s">
        <v>36</v>
      </c>
      <c r="J1049" s="39" t="s">
        <v>42</v>
      </c>
      <c r="K1049" s="39" t="n">
        <v>2</v>
      </c>
    </row>
    <row r="1050" customFormat="false" ht="15" hidden="false" customHeight="false" outlineLevel="0" collapsed="false">
      <c r="A1050" s="39" t="s">
        <v>1160</v>
      </c>
      <c r="B1050" s="40" t="n">
        <v>46285</v>
      </c>
      <c r="C1050" s="39" t="s">
        <v>48</v>
      </c>
      <c r="D1050" s="39" t="s">
        <v>33</v>
      </c>
      <c r="E1050" s="39" t="s">
        <v>114</v>
      </c>
      <c r="F1050" s="39" t="n">
        <v>2</v>
      </c>
      <c r="G1050" s="41" t="n">
        <v>388</v>
      </c>
      <c r="H1050" s="42" t="n">
        <f aca="false">F1050*G1050</f>
        <v>776</v>
      </c>
      <c r="I1050" s="39" t="s">
        <v>36</v>
      </c>
      <c r="J1050" s="39" t="s">
        <v>42</v>
      </c>
      <c r="K1050" s="39" t="n">
        <v>3</v>
      </c>
    </row>
    <row r="1051" customFormat="false" ht="15" hidden="false" customHeight="false" outlineLevel="0" collapsed="false">
      <c r="A1051" s="39" t="s">
        <v>1161</v>
      </c>
      <c r="B1051" s="40" t="n">
        <v>46285</v>
      </c>
      <c r="C1051" s="39" t="s">
        <v>48</v>
      </c>
      <c r="D1051" s="39" t="s">
        <v>33</v>
      </c>
      <c r="E1051" s="39" t="s">
        <v>117</v>
      </c>
      <c r="F1051" s="39" t="n">
        <v>1</v>
      </c>
      <c r="G1051" s="41" t="n">
        <v>678</v>
      </c>
      <c r="H1051" s="42" t="n">
        <f aca="false">F1051*G1051</f>
        <v>678</v>
      </c>
      <c r="I1051" s="39" t="s">
        <v>36</v>
      </c>
      <c r="J1051" s="39" t="s">
        <v>42</v>
      </c>
      <c r="K1051" s="39" t="n">
        <v>4</v>
      </c>
    </row>
    <row r="1052" customFormat="false" ht="15" hidden="false" customHeight="false" outlineLevel="0" collapsed="false">
      <c r="A1052" s="39" t="s">
        <v>1162</v>
      </c>
      <c r="B1052" s="40" t="n">
        <v>46285</v>
      </c>
      <c r="C1052" s="39" t="s">
        <v>101</v>
      </c>
      <c r="D1052" s="39" t="s">
        <v>35</v>
      </c>
      <c r="E1052" s="39" t="s">
        <v>125</v>
      </c>
      <c r="F1052" s="39" t="n">
        <v>1</v>
      </c>
      <c r="G1052" s="41" t="n">
        <v>798</v>
      </c>
      <c r="H1052" s="42" t="n">
        <f aca="false">F1052*G1052</f>
        <v>798</v>
      </c>
      <c r="I1052" s="39" t="s">
        <v>36</v>
      </c>
      <c r="J1052" s="39" t="s">
        <v>43</v>
      </c>
      <c r="K1052" s="39" t="n">
        <v>3</v>
      </c>
    </row>
    <row r="1053" customFormat="false" ht="15" hidden="false" customHeight="false" outlineLevel="0" collapsed="false">
      <c r="A1053" s="39" t="s">
        <v>1163</v>
      </c>
      <c r="B1053" s="40" t="n">
        <v>46285</v>
      </c>
      <c r="C1053" s="39" t="s">
        <v>49</v>
      </c>
      <c r="D1053" s="39" t="s">
        <v>33</v>
      </c>
      <c r="E1053" s="39" t="s">
        <v>136</v>
      </c>
      <c r="F1053" s="39" t="n">
        <v>2</v>
      </c>
      <c r="G1053" s="41" t="n">
        <v>678</v>
      </c>
      <c r="H1053" s="42" t="n">
        <f aca="false">F1053*G1053</f>
        <v>1356</v>
      </c>
      <c r="I1053" s="39" t="s">
        <v>34</v>
      </c>
      <c r="J1053" s="39" t="s">
        <v>43</v>
      </c>
      <c r="K1053" s="39" t="n">
        <v>6</v>
      </c>
    </row>
    <row r="1054" customFormat="false" ht="15" hidden="false" customHeight="false" outlineLevel="0" collapsed="false">
      <c r="A1054" s="39" t="s">
        <v>1164</v>
      </c>
      <c r="B1054" s="40" t="n">
        <v>46285</v>
      </c>
      <c r="C1054" s="39" t="s">
        <v>51</v>
      </c>
      <c r="D1054" s="39" t="s">
        <v>35</v>
      </c>
      <c r="E1054" s="39" t="s">
        <v>125</v>
      </c>
      <c r="F1054" s="39" t="n">
        <v>1</v>
      </c>
      <c r="G1054" s="41" t="n">
        <v>418</v>
      </c>
      <c r="H1054" s="42" t="n">
        <f aca="false">F1054*G1054</f>
        <v>418</v>
      </c>
      <c r="I1054" s="39" t="s">
        <v>34</v>
      </c>
      <c r="J1054" s="39" t="s">
        <v>42</v>
      </c>
      <c r="K1054" s="39" t="n">
        <v>3</v>
      </c>
    </row>
    <row r="1055" customFormat="false" ht="15" hidden="false" customHeight="false" outlineLevel="0" collapsed="false">
      <c r="A1055" s="39" t="s">
        <v>1165</v>
      </c>
      <c r="B1055" s="40" t="n">
        <v>46285</v>
      </c>
      <c r="C1055" s="39" t="s">
        <v>50</v>
      </c>
      <c r="D1055" s="39" t="s">
        <v>33</v>
      </c>
      <c r="E1055" s="39" t="s">
        <v>102</v>
      </c>
      <c r="F1055" s="39" t="n">
        <v>2</v>
      </c>
      <c r="G1055" s="41" t="n">
        <v>698</v>
      </c>
      <c r="H1055" s="42" t="n">
        <f aca="false">F1055*G1055</f>
        <v>1396</v>
      </c>
      <c r="I1055" s="39" t="s">
        <v>34</v>
      </c>
      <c r="J1055" s="39" t="s">
        <v>42</v>
      </c>
      <c r="K1055" s="39" t="n">
        <v>4</v>
      </c>
    </row>
    <row r="1056" customFormat="false" ht="15" hidden="false" customHeight="false" outlineLevel="0" collapsed="false">
      <c r="A1056" s="39" t="s">
        <v>1166</v>
      </c>
      <c r="B1056" s="40" t="n">
        <v>46285</v>
      </c>
      <c r="C1056" s="39" t="s">
        <v>48</v>
      </c>
      <c r="D1056" s="39" t="s">
        <v>33</v>
      </c>
      <c r="E1056" s="39" t="s">
        <v>114</v>
      </c>
      <c r="F1056" s="39" t="n">
        <v>2</v>
      </c>
      <c r="G1056" s="41" t="n">
        <v>758</v>
      </c>
      <c r="H1056" s="42" t="n">
        <f aca="false">F1056*G1056</f>
        <v>1516</v>
      </c>
      <c r="I1056" s="39" t="s">
        <v>34</v>
      </c>
      <c r="J1056" s="39" t="s">
        <v>42</v>
      </c>
      <c r="K1056" s="39" t="n">
        <v>3</v>
      </c>
    </row>
    <row r="1057" customFormat="false" ht="15" hidden="false" customHeight="false" outlineLevel="0" collapsed="false">
      <c r="A1057" s="39" t="s">
        <v>1167</v>
      </c>
      <c r="B1057" s="40" t="n">
        <v>46285</v>
      </c>
      <c r="C1057" s="39" t="s">
        <v>51</v>
      </c>
      <c r="D1057" s="39" t="s">
        <v>38</v>
      </c>
      <c r="E1057" s="39" t="s">
        <v>121</v>
      </c>
      <c r="F1057" s="39" t="n">
        <v>1</v>
      </c>
      <c r="G1057" s="41" t="n">
        <v>798</v>
      </c>
      <c r="H1057" s="42" t="n">
        <f aca="false">F1057*G1057</f>
        <v>798</v>
      </c>
      <c r="I1057" s="39" t="s">
        <v>34</v>
      </c>
      <c r="J1057" s="39" t="s">
        <v>42</v>
      </c>
      <c r="K1057" s="39" t="n">
        <v>5</v>
      </c>
    </row>
    <row r="1058" customFormat="false" ht="15" hidden="false" customHeight="false" outlineLevel="0" collapsed="false">
      <c r="A1058" s="39" t="s">
        <v>1168</v>
      </c>
      <c r="B1058" s="40" t="n">
        <v>46285</v>
      </c>
      <c r="C1058" s="39" t="s">
        <v>49</v>
      </c>
      <c r="D1058" s="39" t="s">
        <v>38</v>
      </c>
      <c r="E1058" s="39" t="s">
        <v>107</v>
      </c>
      <c r="F1058" s="39" t="n">
        <v>2</v>
      </c>
      <c r="G1058" s="41" t="n">
        <v>798</v>
      </c>
      <c r="H1058" s="42" t="n">
        <f aca="false">F1058*G1058</f>
        <v>1596</v>
      </c>
      <c r="I1058" s="39" t="s">
        <v>34</v>
      </c>
      <c r="J1058" s="39" t="s">
        <v>42</v>
      </c>
      <c r="K1058" s="39" t="n">
        <v>3</v>
      </c>
    </row>
    <row r="1059" customFormat="false" ht="15" hidden="false" customHeight="false" outlineLevel="0" collapsed="false">
      <c r="A1059" s="39" t="s">
        <v>1169</v>
      </c>
      <c r="B1059" s="40" t="n">
        <v>46286</v>
      </c>
      <c r="C1059" s="39" t="s">
        <v>51</v>
      </c>
      <c r="D1059" s="39" t="s">
        <v>33</v>
      </c>
      <c r="E1059" s="39" t="s">
        <v>102</v>
      </c>
      <c r="F1059" s="39" t="n">
        <v>1</v>
      </c>
      <c r="G1059" s="41" t="n">
        <v>398</v>
      </c>
      <c r="H1059" s="42" t="n">
        <f aca="false">F1059*G1059</f>
        <v>398</v>
      </c>
      <c r="I1059" s="39" t="s">
        <v>36</v>
      </c>
      <c r="J1059" s="39" t="s">
        <v>42</v>
      </c>
      <c r="K1059" s="39" t="n">
        <v>3</v>
      </c>
    </row>
    <row r="1060" customFormat="false" ht="15" hidden="false" customHeight="false" outlineLevel="0" collapsed="false">
      <c r="A1060" s="39" t="s">
        <v>1170</v>
      </c>
      <c r="B1060" s="40" t="n">
        <v>46286</v>
      </c>
      <c r="C1060" s="39" t="s">
        <v>49</v>
      </c>
      <c r="D1060" s="39" t="s">
        <v>38</v>
      </c>
      <c r="E1060" s="39" t="s">
        <v>110</v>
      </c>
      <c r="F1060" s="39" t="n">
        <v>2</v>
      </c>
      <c r="G1060" s="41" t="n">
        <v>388</v>
      </c>
      <c r="H1060" s="42" t="n">
        <f aca="false">F1060*G1060</f>
        <v>776</v>
      </c>
      <c r="I1060" s="39" t="s">
        <v>36</v>
      </c>
      <c r="J1060" s="39" t="s">
        <v>47</v>
      </c>
      <c r="K1060" s="39"/>
    </row>
    <row r="1061" customFormat="false" ht="15" hidden="false" customHeight="false" outlineLevel="0" collapsed="false">
      <c r="A1061" s="39" t="s">
        <v>1171</v>
      </c>
      <c r="B1061" s="40" t="n">
        <v>46286</v>
      </c>
      <c r="C1061" s="39" t="s">
        <v>50</v>
      </c>
      <c r="D1061" s="39" t="s">
        <v>38</v>
      </c>
      <c r="E1061" s="39" t="s">
        <v>107</v>
      </c>
      <c r="F1061" s="39" t="n">
        <v>1</v>
      </c>
      <c r="G1061" s="41" t="n">
        <v>938</v>
      </c>
      <c r="H1061" s="42" t="n">
        <f aca="false">F1061*G1061</f>
        <v>938</v>
      </c>
      <c r="I1061" s="39" t="s">
        <v>34</v>
      </c>
      <c r="J1061" s="39" t="s">
        <v>43</v>
      </c>
      <c r="K1061" s="39" t="n">
        <v>3</v>
      </c>
    </row>
    <row r="1062" customFormat="false" ht="15" hidden="false" customHeight="false" outlineLevel="0" collapsed="false">
      <c r="A1062" s="39" t="s">
        <v>1172</v>
      </c>
      <c r="B1062" s="40" t="n">
        <v>46286</v>
      </c>
      <c r="C1062" s="39" t="s">
        <v>50</v>
      </c>
      <c r="D1062" s="39" t="s">
        <v>38</v>
      </c>
      <c r="E1062" s="39" t="s">
        <v>107</v>
      </c>
      <c r="F1062" s="39" t="n">
        <v>1</v>
      </c>
      <c r="G1062" s="41" t="n">
        <v>888</v>
      </c>
      <c r="H1062" s="42" t="n">
        <f aca="false">F1062*G1062</f>
        <v>888</v>
      </c>
      <c r="I1062" s="39" t="s">
        <v>36</v>
      </c>
      <c r="J1062" s="39" t="s">
        <v>42</v>
      </c>
      <c r="K1062" s="39" t="n">
        <v>4</v>
      </c>
    </row>
    <row r="1063" customFormat="false" ht="15" hidden="false" customHeight="false" outlineLevel="0" collapsed="false">
      <c r="A1063" s="39" t="s">
        <v>1173</v>
      </c>
      <c r="B1063" s="40" t="n">
        <v>46286</v>
      </c>
      <c r="C1063" s="39" t="s">
        <v>52</v>
      </c>
      <c r="D1063" s="39" t="s">
        <v>37</v>
      </c>
      <c r="E1063" s="39" t="s">
        <v>131</v>
      </c>
      <c r="F1063" s="39" t="n">
        <v>1</v>
      </c>
      <c r="G1063" s="41" t="n">
        <v>618</v>
      </c>
      <c r="H1063" s="42" t="n">
        <f aca="false">F1063*G1063</f>
        <v>618</v>
      </c>
      <c r="I1063" s="39" t="s">
        <v>36</v>
      </c>
      <c r="J1063" s="39" t="s">
        <v>42</v>
      </c>
      <c r="K1063" s="39" t="n">
        <v>4</v>
      </c>
    </row>
    <row r="1064" customFormat="false" ht="15" hidden="false" customHeight="false" outlineLevel="0" collapsed="false">
      <c r="A1064" s="39" t="s">
        <v>1174</v>
      </c>
      <c r="B1064" s="40" t="n">
        <v>46286</v>
      </c>
      <c r="C1064" s="39" t="s">
        <v>50</v>
      </c>
      <c r="D1064" s="39" t="s">
        <v>33</v>
      </c>
      <c r="E1064" s="39" t="s">
        <v>136</v>
      </c>
      <c r="F1064" s="39" t="n">
        <v>3</v>
      </c>
      <c r="G1064" s="41" t="n">
        <v>508</v>
      </c>
      <c r="H1064" s="42" t="n">
        <f aca="false">F1064*G1064</f>
        <v>1524</v>
      </c>
      <c r="I1064" s="39" t="s">
        <v>34</v>
      </c>
      <c r="J1064" s="39" t="s">
        <v>42</v>
      </c>
      <c r="K1064" s="39" t="n">
        <v>6</v>
      </c>
    </row>
    <row r="1065" customFormat="false" ht="15" hidden="false" customHeight="false" outlineLevel="0" collapsed="false">
      <c r="A1065" s="39" t="s">
        <v>1175</v>
      </c>
      <c r="B1065" s="40" t="n">
        <v>46286</v>
      </c>
      <c r="C1065" s="39" t="s">
        <v>49</v>
      </c>
      <c r="D1065" s="39" t="s">
        <v>33</v>
      </c>
      <c r="E1065" s="39" t="s">
        <v>102</v>
      </c>
      <c r="F1065" s="39" t="n">
        <v>1</v>
      </c>
      <c r="G1065" s="41" t="n">
        <v>728</v>
      </c>
      <c r="H1065" s="42" t="n">
        <f aca="false">F1065*G1065</f>
        <v>728</v>
      </c>
      <c r="I1065" s="39" t="s">
        <v>34</v>
      </c>
      <c r="J1065" s="39" t="s">
        <v>42</v>
      </c>
      <c r="K1065" s="39" t="n">
        <v>2</v>
      </c>
    </row>
    <row r="1066" customFormat="false" ht="15" hidden="false" customHeight="false" outlineLevel="0" collapsed="false">
      <c r="A1066" s="39" t="s">
        <v>1176</v>
      </c>
      <c r="B1066" s="40" t="n">
        <v>46286</v>
      </c>
      <c r="C1066" s="39" t="s">
        <v>50</v>
      </c>
      <c r="D1066" s="39" t="s">
        <v>33</v>
      </c>
      <c r="E1066" s="39" t="s">
        <v>114</v>
      </c>
      <c r="F1066" s="39" t="n">
        <v>1</v>
      </c>
      <c r="G1066" s="41" t="n">
        <v>738</v>
      </c>
      <c r="H1066" s="42" t="n">
        <f aca="false">F1066*G1066</f>
        <v>738</v>
      </c>
      <c r="I1066" s="39" t="s">
        <v>34</v>
      </c>
      <c r="J1066" s="39" t="s">
        <v>43</v>
      </c>
      <c r="K1066" s="39" t="n">
        <v>4</v>
      </c>
    </row>
    <row r="1067" customFormat="false" ht="15" hidden="false" customHeight="false" outlineLevel="0" collapsed="false">
      <c r="A1067" s="39" t="s">
        <v>1177</v>
      </c>
      <c r="B1067" s="40" t="n">
        <v>46286</v>
      </c>
      <c r="C1067" s="39" t="s">
        <v>52</v>
      </c>
      <c r="D1067" s="39" t="s">
        <v>33</v>
      </c>
      <c r="E1067" s="39" t="s">
        <v>117</v>
      </c>
      <c r="F1067" s="39" t="n">
        <v>1</v>
      </c>
      <c r="G1067" s="41" t="n">
        <v>698</v>
      </c>
      <c r="H1067" s="42" t="n">
        <f aca="false">F1067*G1067</f>
        <v>698</v>
      </c>
      <c r="I1067" s="39" t="s">
        <v>34</v>
      </c>
      <c r="J1067" s="39" t="s">
        <v>42</v>
      </c>
      <c r="K1067" s="39" t="n">
        <v>3</v>
      </c>
    </row>
    <row r="1068" customFormat="false" ht="15" hidden="false" customHeight="false" outlineLevel="0" collapsed="false">
      <c r="A1068" s="39" t="s">
        <v>1178</v>
      </c>
      <c r="B1068" s="40" t="n">
        <v>46286</v>
      </c>
      <c r="C1068" s="39" t="s">
        <v>48</v>
      </c>
      <c r="D1068" s="39" t="s">
        <v>38</v>
      </c>
      <c r="E1068" s="39" t="s">
        <v>110</v>
      </c>
      <c r="F1068" s="39" t="n">
        <v>1</v>
      </c>
      <c r="G1068" s="41" t="n">
        <v>768</v>
      </c>
      <c r="H1068" s="42" t="n">
        <f aca="false">F1068*G1068</f>
        <v>768</v>
      </c>
      <c r="I1068" s="39" t="s">
        <v>36</v>
      </c>
      <c r="J1068" s="39" t="s">
        <v>42</v>
      </c>
      <c r="K1068" s="39" t="n">
        <v>3</v>
      </c>
    </row>
    <row r="1069" customFormat="false" ht="15" hidden="false" customHeight="false" outlineLevel="0" collapsed="false">
      <c r="A1069" s="39" t="s">
        <v>1179</v>
      </c>
      <c r="B1069" s="40" t="n">
        <v>46286</v>
      </c>
      <c r="C1069" s="39" t="s">
        <v>50</v>
      </c>
      <c r="D1069" s="39" t="s">
        <v>38</v>
      </c>
      <c r="E1069" s="39" t="s">
        <v>110</v>
      </c>
      <c r="F1069" s="39" t="n">
        <v>1</v>
      </c>
      <c r="G1069" s="41" t="n">
        <v>708</v>
      </c>
      <c r="H1069" s="42" t="n">
        <f aca="false">F1069*G1069</f>
        <v>708</v>
      </c>
      <c r="I1069" s="39" t="s">
        <v>34</v>
      </c>
      <c r="J1069" s="39" t="s">
        <v>45</v>
      </c>
      <c r="K1069" s="39"/>
    </row>
    <row r="1070" customFormat="false" ht="15" hidden="false" customHeight="false" outlineLevel="0" collapsed="false">
      <c r="A1070" s="39" t="s">
        <v>1180</v>
      </c>
      <c r="B1070" s="40" t="n">
        <v>46287</v>
      </c>
      <c r="C1070" s="39" t="s">
        <v>53</v>
      </c>
      <c r="D1070" s="39" t="s">
        <v>35</v>
      </c>
      <c r="E1070" s="39" t="s">
        <v>125</v>
      </c>
      <c r="F1070" s="39" t="n">
        <v>2</v>
      </c>
      <c r="G1070" s="41" t="n">
        <v>328</v>
      </c>
      <c r="H1070" s="42" t="n">
        <f aca="false">F1070*G1070</f>
        <v>656</v>
      </c>
      <c r="I1070" s="39" t="s">
        <v>34</v>
      </c>
      <c r="J1070" s="39" t="s">
        <v>42</v>
      </c>
      <c r="K1070" s="39" t="n">
        <v>4</v>
      </c>
    </row>
    <row r="1071" customFormat="false" ht="15" hidden="false" customHeight="false" outlineLevel="0" collapsed="false">
      <c r="A1071" s="39" t="s">
        <v>1181</v>
      </c>
      <c r="B1071" s="40" t="n">
        <v>46287</v>
      </c>
      <c r="C1071" s="39" t="s">
        <v>101</v>
      </c>
      <c r="D1071" s="39" t="s">
        <v>38</v>
      </c>
      <c r="E1071" s="39" t="s">
        <v>121</v>
      </c>
      <c r="F1071" s="39" t="n">
        <v>1</v>
      </c>
      <c r="G1071" s="41" t="n">
        <v>418</v>
      </c>
      <c r="H1071" s="42" t="n">
        <f aca="false">F1071*G1071</f>
        <v>418</v>
      </c>
      <c r="I1071" s="39" t="s">
        <v>34</v>
      </c>
      <c r="J1071" s="39" t="s">
        <v>45</v>
      </c>
      <c r="K1071" s="39"/>
    </row>
    <row r="1072" customFormat="false" ht="15" hidden="false" customHeight="false" outlineLevel="0" collapsed="false">
      <c r="A1072" s="39" t="s">
        <v>1182</v>
      </c>
      <c r="B1072" s="40" t="n">
        <v>46287</v>
      </c>
      <c r="C1072" s="39" t="s">
        <v>109</v>
      </c>
      <c r="D1072" s="39" t="s">
        <v>35</v>
      </c>
      <c r="E1072" s="39" t="s">
        <v>125</v>
      </c>
      <c r="F1072" s="39" t="n">
        <v>1</v>
      </c>
      <c r="G1072" s="41" t="n">
        <v>468</v>
      </c>
      <c r="H1072" s="42" t="n">
        <f aca="false">F1072*G1072</f>
        <v>468</v>
      </c>
      <c r="I1072" s="39" t="s">
        <v>34</v>
      </c>
      <c r="J1072" s="39" t="s">
        <v>43</v>
      </c>
      <c r="K1072" s="39" t="n">
        <v>3</v>
      </c>
    </row>
    <row r="1073" customFormat="false" ht="15" hidden="false" customHeight="false" outlineLevel="0" collapsed="false">
      <c r="A1073" s="39" t="s">
        <v>1183</v>
      </c>
      <c r="B1073" s="40" t="n">
        <v>46287</v>
      </c>
      <c r="C1073" s="39" t="s">
        <v>101</v>
      </c>
      <c r="D1073" s="39" t="s">
        <v>39</v>
      </c>
      <c r="E1073" s="39" t="s">
        <v>105</v>
      </c>
      <c r="F1073" s="39" t="n">
        <v>1</v>
      </c>
      <c r="G1073" s="41" t="n">
        <v>548</v>
      </c>
      <c r="H1073" s="42" t="n">
        <f aca="false">F1073*G1073</f>
        <v>548</v>
      </c>
      <c r="I1073" s="39" t="s">
        <v>36</v>
      </c>
      <c r="J1073" s="39" t="s">
        <v>42</v>
      </c>
      <c r="K1073" s="39" t="n">
        <v>3</v>
      </c>
    </row>
    <row r="1074" customFormat="false" ht="15" hidden="false" customHeight="false" outlineLevel="0" collapsed="false">
      <c r="A1074" s="39" t="s">
        <v>1184</v>
      </c>
      <c r="B1074" s="40" t="n">
        <v>46287</v>
      </c>
      <c r="C1074" s="39" t="s">
        <v>48</v>
      </c>
      <c r="D1074" s="39" t="s">
        <v>37</v>
      </c>
      <c r="E1074" s="39" t="s">
        <v>131</v>
      </c>
      <c r="F1074" s="39" t="n">
        <v>1</v>
      </c>
      <c r="G1074" s="41" t="n">
        <v>508</v>
      </c>
      <c r="H1074" s="42" t="n">
        <f aca="false">F1074*G1074</f>
        <v>508</v>
      </c>
      <c r="I1074" s="39" t="s">
        <v>36</v>
      </c>
      <c r="J1074" s="39" t="s">
        <v>47</v>
      </c>
      <c r="K1074" s="39"/>
    </row>
    <row r="1075" customFormat="false" ht="15" hidden="false" customHeight="false" outlineLevel="0" collapsed="false">
      <c r="A1075" s="39" t="s">
        <v>1185</v>
      </c>
      <c r="B1075" s="40" t="n">
        <v>46287</v>
      </c>
      <c r="C1075" s="39" t="s">
        <v>52</v>
      </c>
      <c r="D1075" s="39" t="s">
        <v>39</v>
      </c>
      <c r="E1075" s="39" t="s">
        <v>129</v>
      </c>
      <c r="F1075" s="39" t="n">
        <v>1</v>
      </c>
      <c r="G1075" s="41" t="n">
        <v>1078</v>
      </c>
      <c r="H1075" s="42" t="n">
        <f aca="false">F1075*G1075</f>
        <v>1078</v>
      </c>
      <c r="I1075" s="39" t="s">
        <v>36</v>
      </c>
      <c r="J1075" s="39" t="s">
        <v>47</v>
      </c>
      <c r="K1075" s="39"/>
    </row>
    <row r="1076" customFormat="false" ht="15" hidden="false" customHeight="false" outlineLevel="0" collapsed="false">
      <c r="A1076" s="39" t="s">
        <v>1186</v>
      </c>
      <c r="B1076" s="40" t="n">
        <v>46287</v>
      </c>
      <c r="C1076" s="39" t="s">
        <v>51</v>
      </c>
      <c r="D1076" s="39" t="s">
        <v>35</v>
      </c>
      <c r="E1076" s="39" t="s">
        <v>125</v>
      </c>
      <c r="F1076" s="39" t="n">
        <v>1</v>
      </c>
      <c r="G1076" s="41" t="n">
        <v>618</v>
      </c>
      <c r="H1076" s="42" t="n">
        <f aca="false">F1076*G1076</f>
        <v>618</v>
      </c>
      <c r="I1076" s="39" t="s">
        <v>36</v>
      </c>
      <c r="J1076" s="39" t="s">
        <v>42</v>
      </c>
      <c r="K1076" s="39" t="n">
        <v>5</v>
      </c>
    </row>
    <row r="1077" customFormat="false" ht="15" hidden="false" customHeight="false" outlineLevel="0" collapsed="false">
      <c r="A1077" s="39" t="s">
        <v>1187</v>
      </c>
      <c r="B1077" s="40" t="n">
        <v>46287</v>
      </c>
      <c r="C1077" s="39" t="s">
        <v>50</v>
      </c>
      <c r="D1077" s="39" t="s">
        <v>39</v>
      </c>
      <c r="E1077" s="39" t="s">
        <v>129</v>
      </c>
      <c r="F1077" s="39" t="n">
        <v>2</v>
      </c>
      <c r="G1077" s="41" t="n">
        <v>428</v>
      </c>
      <c r="H1077" s="42" t="n">
        <f aca="false">F1077*G1077</f>
        <v>856</v>
      </c>
      <c r="I1077" s="39" t="s">
        <v>36</v>
      </c>
      <c r="J1077" s="39" t="s">
        <v>43</v>
      </c>
      <c r="K1077" s="39" t="n">
        <v>3</v>
      </c>
    </row>
    <row r="1078" customFormat="false" ht="15" hidden="false" customHeight="false" outlineLevel="0" collapsed="false">
      <c r="A1078" s="39" t="s">
        <v>1188</v>
      </c>
      <c r="B1078" s="40" t="n">
        <v>46287</v>
      </c>
      <c r="C1078" s="39" t="s">
        <v>49</v>
      </c>
      <c r="D1078" s="39" t="s">
        <v>35</v>
      </c>
      <c r="E1078" s="39" t="s">
        <v>95</v>
      </c>
      <c r="F1078" s="39" t="n">
        <v>1</v>
      </c>
      <c r="G1078" s="41" t="n">
        <v>358</v>
      </c>
      <c r="H1078" s="42" t="n">
        <f aca="false">F1078*G1078</f>
        <v>358</v>
      </c>
      <c r="I1078" s="39" t="s">
        <v>36</v>
      </c>
      <c r="J1078" s="39" t="s">
        <v>42</v>
      </c>
      <c r="K1078" s="39" t="n">
        <v>7</v>
      </c>
    </row>
    <row r="1079" customFormat="false" ht="15" hidden="false" customHeight="false" outlineLevel="0" collapsed="false">
      <c r="A1079" s="39" t="s">
        <v>1189</v>
      </c>
      <c r="B1079" s="40" t="n">
        <v>46287</v>
      </c>
      <c r="C1079" s="39" t="s">
        <v>52</v>
      </c>
      <c r="D1079" s="39" t="s">
        <v>38</v>
      </c>
      <c r="E1079" s="39" t="s">
        <v>121</v>
      </c>
      <c r="F1079" s="39" t="n">
        <v>1</v>
      </c>
      <c r="G1079" s="41" t="n">
        <v>368</v>
      </c>
      <c r="H1079" s="42" t="n">
        <f aca="false">F1079*G1079</f>
        <v>368</v>
      </c>
      <c r="I1079" s="39" t="s">
        <v>34</v>
      </c>
      <c r="J1079" s="39" t="s">
        <v>42</v>
      </c>
      <c r="K1079" s="39" t="n">
        <v>2</v>
      </c>
    </row>
    <row r="1080" customFormat="false" ht="15" hidden="false" customHeight="false" outlineLevel="0" collapsed="false">
      <c r="A1080" s="39" t="s">
        <v>1190</v>
      </c>
      <c r="B1080" s="40" t="n">
        <v>46287</v>
      </c>
      <c r="C1080" s="39" t="s">
        <v>48</v>
      </c>
      <c r="D1080" s="39" t="s">
        <v>33</v>
      </c>
      <c r="E1080" s="39" t="s">
        <v>114</v>
      </c>
      <c r="F1080" s="39" t="n">
        <v>2</v>
      </c>
      <c r="G1080" s="41" t="n">
        <v>748</v>
      </c>
      <c r="H1080" s="42" t="n">
        <f aca="false">F1080*G1080</f>
        <v>1496</v>
      </c>
      <c r="I1080" s="39" t="s">
        <v>36</v>
      </c>
      <c r="J1080" s="39" t="s">
        <v>42</v>
      </c>
      <c r="K1080" s="39" t="n">
        <v>3</v>
      </c>
    </row>
    <row r="1081" customFormat="false" ht="15" hidden="false" customHeight="false" outlineLevel="0" collapsed="false">
      <c r="A1081" s="39" t="s">
        <v>1191</v>
      </c>
      <c r="B1081" s="40" t="n">
        <v>46287</v>
      </c>
      <c r="C1081" s="39" t="s">
        <v>53</v>
      </c>
      <c r="D1081" s="39" t="s">
        <v>37</v>
      </c>
      <c r="E1081" s="39" t="s">
        <v>131</v>
      </c>
      <c r="F1081" s="39" t="n">
        <v>1</v>
      </c>
      <c r="G1081" s="41" t="n">
        <v>288</v>
      </c>
      <c r="H1081" s="42" t="n">
        <f aca="false">F1081*G1081</f>
        <v>288</v>
      </c>
      <c r="I1081" s="39" t="s">
        <v>34</v>
      </c>
      <c r="J1081" s="39" t="s">
        <v>42</v>
      </c>
      <c r="K1081" s="39" t="n">
        <v>3</v>
      </c>
    </row>
    <row r="1082" customFormat="false" ht="15" hidden="false" customHeight="false" outlineLevel="0" collapsed="false">
      <c r="A1082" s="39" t="s">
        <v>1192</v>
      </c>
      <c r="B1082" s="40" t="n">
        <v>46287</v>
      </c>
      <c r="C1082" s="39" t="s">
        <v>49</v>
      </c>
      <c r="D1082" s="39" t="s">
        <v>38</v>
      </c>
      <c r="E1082" s="39" t="s">
        <v>110</v>
      </c>
      <c r="F1082" s="39" t="n">
        <v>1</v>
      </c>
      <c r="G1082" s="41" t="n">
        <v>868</v>
      </c>
      <c r="H1082" s="42" t="n">
        <f aca="false">F1082*G1082</f>
        <v>868</v>
      </c>
      <c r="I1082" s="39" t="s">
        <v>34</v>
      </c>
      <c r="J1082" s="39" t="s">
        <v>43</v>
      </c>
      <c r="K1082" s="39" t="n">
        <v>3</v>
      </c>
    </row>
    <row r="1083" customFormat="false" ht="15" hidden="false" customHeight="false" outlineLevel="0" collapsed="false">
      <c r="A1083" s="39" t="s">
        <v>1193</v>
      </c>
      <c r="B1083" s="40" t="n">
        <v>46288</v>
      </c>
      <c r="C1083" s="39" t="s">
        <v>51</v>
      </c>
      <c r="D1083" s="39" t="s">
        <v>39</v>
      </c>
      <c r="E1083" s="39" t="s">
        <v>105</v>
      </c>
      <c r="F1083" s="39" t="n">
        <v>2</v>
      </c>
      <c r="G1083" s="41" t="n">
        <v>838</v>
      </c>
      <c r="H1083" s="42" t="n">
        <f aca="false">F1083*G1083</f>
        <v>1676</v>
      </c>
      <c r="I1083" s="39" t="s">
        <v>36</v>
      </c>
      <c r="J1083" s="39" t="s">
        <v>43</v>
      </c>
      <c r="K1083" s="39" t="n">
        <v>3</v>
      </c>
    </row>
    <row r="1084" customFormat="false" ht="15" hidden="false" customHeight="false" outlineLevel="0" collapsed="false">
      <c r="A1084" s="39" t="s">
        <v>1194</v>
      </c>
      <c r="B1084" s="40" t="n">
        <v>46288</v>
      </c>
      <c r="C1084" s="39" t="s">
        <v>52</v>
      </c>
      <c r="D1084" s="39" t="s">
        <v>37</v>
      </c>
      <c r="E1084" s="39" t="s">
        <v>131</v>
      </c>
      <c r="F1084" s="39" t="n">
        <v>1</v>
      </c>
      <c r="G1084" s="41" t="n">
        <v>498</v>
      </c>
      <c r="H1084" s="42" t="n">
        <f aca="false">F1084*G1084</f>
        <v>498</v>
      </c>
      <c r="I1084" s="39" t="s">
        <v>34</v>
      </c>
      <c r="J1084" s="39" t="s">
        <v>42</v>
      </c>
      <c r="K1084" s="39" t="n">
        <v>3</v>
      </c>
    </row>
    <row r="1085" customFormat="false" ht="15" hidden="false" customHeight="false" outlineLevel="0" collapsed="false">
      <c r="A1085" s="39" t="s">
        <v>1195</v>
      </c>
      <c r="B1085" s="40" t="n">
        <v>46288</v>
      </c>
      <c r="C1085" s="39" t="s">
        <v>49</v>
      </c>
      <c r="D1085" s="39" t="s">
        <v>37</v>
      </c>
      <c r="E1085" s="39" t="s">
        <v>97</v>
      </c>
      <c r="F1085" s="39" t="n">
        <v>1</v>
      </c>
      <c r="G1085" s="41" t="n">
        <v>508</v>
      </c>
      <c r="H1085" s="42" t="n">
        <f aca="false">F1085*G1085</f>
        <v>508</v>
      </c>
      <c r="I1085" s="39" t="s">
        <v>34</v>
      </c>
      <c r="J1085" s="39" t="s">
        <v>45</v>
      </c>
      <c r="K1085" s="39"/>
    </row>
    <row r="1086" customFormat="false" ht="15" hidden="false" customHeight="false" outlineLevel="0" collapsed="false">
      <c r="A1086" s="39" t="s">
        <v>1196</v>
      </c>
      <c r="B1086" s="40" t="n">
        <v>46288</v>
      </c>
      <c r="C1086" s="39" t="s">
        <v>51</v>
      </c>
      <c r="D1086" s="39" t="s">
        <v>35</v>
      </c>
      <c r="E1086" s="39" t="s">
        <v>95</v>
      </c>
      <c r="F1086" s="39" t="n">
        <v>2</v>
      </c>
      <c r="G1086" s="41" t="n">
        <v>448</v>
      </c>
      <c r="H1086" s="42" t="n">
        <f aca="false">F1086*G1086</f>
        <v>896</v>
      </c>
      <c r="I1086" s="39" t="s">
        <v>34</v>
      </c>
      <c r="J1086" s="39" t="s">
        <v>42</v>
      </c>
      <c r="K1086" s="39" t="n">
        <v>4</v>
      </c>
    </row>
    <row r="1087" customFormat="false" ht="15" hidden="false" customHeight="false" outlineLevel="0" collapsed="false">
      <c r="A1087" s="39" t="s">
        <v>1197</v>
      </c>
      <c r="B1087" s="40" t="n">
        <v>46288</v>
      </c>
      <c r="C1087" s="39" t="s">
        <v>51</v>
      </c>
      <c r="D1087" s="39" t="s">
        <v>33</v>
      </c>
      <c r="E1087" s="39" t="s">
        <v>117</v>
      </c>
      <c r="F1087" s="39" t="n">
        <v>2</v>
      </c>
      <c r="G1087" s="41" t="n">
        <v>628</v>
      </c>
      <c r="H1087" s="42" t="n">
        <f aca="false">F1087*G1087</f>
        <v>1256</v>
      </c>
      <c r="I1087" s="39" t="s">
        <v>36</v>
      </c>
      <c r="J1087" s="39" t="s">
        <v>42</v>
      </c>
      <c r="K1087" s="39" t="n">
        <v>3</v>
      </c>
    </row>
    <row r="1088" customFormat="false" ht="15" hidden="false" customHeight="false" outlineLevel="0" collapsed="false">
      <c r="A1088" s="39" t="s">
        <v>1198</v>
      </c>
      <c r="B1088" s="40" t="n">
        <v>46288</v>
      </c>
      <c r="C1088" s="39" t="s">
        <v>109</v>
      </c>
      <c r="D1088" s="39" t="s">
        <v>35</v>
      </c>
      <c r="E1088" s="39" t="s">
        <v>125</v>
      </c>
      <c r="F1088" s="39" t="n">
        <v>1</v>
      </c>
      <c r="G1088" s="41" t="n">
        <v>638</v>
      </c>
      <c r="H1088" s="42" t="n">
        <f aca="false">F1088*G1088</f>
        <v>638</v>
      </c>
      <c r="I1088" s="39" t="s">
        <v>34</v>
      </c>
      <c r="J1088" s="39" t="s">
        <v>42</v>
      </c>
      <c r="K1088" s="39" t="n">
        <v>3</v>
      </c>
    </row>
    <row r="1089" customFormat="false" ht="15" hidden="false" customHeight="false" outlineLevel="0" collapsed="false">
      <c r="A1089" s="39" t="s">
        <v>1199</v>
      </c>
      <c r="B1089" s="40" t="n">
        <v>46288</v>
      </c>
      <c r="C1089" s="39" t="s">
        <v>53</v>
      </c>
      <c r="D1089" s="39" t="s">
        <v>37</v>
      </c>
      <c r="E1089" s="39" t="s">
        <v>131</v>
      </c>
      <c r="F1089" s="39" t="n">
        <v>2</v>
      </c>
      <c r="G1089" s="41" t="n">
        <v>508</v>
      </c>
      <c r="H1089" s="42" t="n">
        <f aca="false">F1089*G1089</f>
        <v>1016</v>
      </c>
      <c r="I1089" s="39" t="s">
        <v>36</v>
      </c>
      <c r="J1089" s="39" t="s">
        <v>42</v>
      </c>
      <c r="K1089" s="39" t="n">
        <v>6</v>
      </c>
    </row>
    <row r="1090" customFormat="false" ht="15" hidden="false" customHeight="false" outlineLevel="0" collapsed="false">
      <c r="A1090" s="39" t="s">
        <v>1200</v>
      </c>
      <c r="B1090" s="40" t="n">
        <v>46288</v>
      </c>
      <c r="C1090" s="39" t="s">
        <v>49</v>
      </c>
      <c r="D1090" s="39" t="s">
        <v>39</v>
      </c>
      <c r="E1090" s="39" t="s">
        <v>129</v>
      </c>
      <c r="F1090" s="39" t="n">
        <v>1</v>
      </c>
      <c r="G1090" s="41" t="n">
        <v>948</v>
      </c>
      <c r="H1090" s="42" t="n">
        <f aca="false">F1090*G1090</f>
        <v>948</v>
      </c>
      <c r="I1090" s="39" t="s">
        <v>34</v>
      </c>
      <c r="J1090" s="39" t="s">
        <v>42</v>
      </c>
      <c r="K1090" s="39" t="n">
        <v>3</v>
      </c>
    </row>
    <row r="1091" customFormat="false" ht="15" hidden="false" customHeight="false" outlineLevel="0" collapsed="false">
      <c r="A1091" s="39" t="s">
        <v>1201</v>
      </c>
      <c r="B1091" s="40" t="n">
        <v>46288</v>
      </c>
      <c r="C1091" s="39" t="s">
        <v>51</v>
      </c>
      <c r="D1091" s="39" t="s">
        <v>38</v>
      </c>
      <c r="E1091" s="39" t="s">
        <v>110</v>
      </c>
      <c r="F1091" s="39" t="n">
        <v>1</v>
      </c>
      <c r="G1091" s="41" t="n">
        <v>358</v>
      </c>
      <c r="H1091" s="42" t="n">
        <f aca="false">F1091*G1091</f>
        <v>358</v>
      </c>
      <c r="I1091" s="39" t="s">
        <v>36</v>
      </c>
      <c r="J1091" s="39" t="s">
        <v>42</v>
      </c>
      <c r="K1091" s="39" t="n">
        <v>3</v>
      </c>
    </row>
    <row r="1092" customFormat="false" ht="15" hidden="false" customHeight="false" outlineLevel="0" collapsed="false">
      <c r="A1092" s="39" t="s">
        <v>1202</v>
      </c>
      <c r="B1092" s="40" t="n">
        <v>46288</v>
      </c>
      <c r="C1092" s="39" t="s">
        <v>50</v>
      </c>
      <c r="D1092" s="39" t="s">
        <v>38</v>
      </c>
      <c r="E1092" s="39" t="s">
        <v>110</v>
      </c>
      <c r="F1092" s="39" t="n">
        <v>1</v>
      </c>
      <c r="G1092" s="41" t="n">
        <v>718</v>
      </c>
      <c r="H1092" s="42" t="n">
        <f aca="false">F1092*G1092</f>
        <v>718</v>
      </c>
      <c r="I1092" s="39" t="s">
        <v>34</v>
      </c>
      <c r="J1092" s="39" t="s">
        <v>42</v>
      </c>
      <c r="K1092" s="39" t="n">
        <v>4</v>
      </c>
    </row>
    <row r="1093" customFormat="false" ht="15" hidden="false" customHeight="false" outlineLevel="0" collapsed="false">
      <c r="A1093" s="39" t="s">
        <v>1203</v>
      </c>
      <c r="B1093" s="40" t="n">
        <v>46288</v>
      </c>
      <c r="C1093" s="39" t="s">
        <v>101</v>
      </c>
      <c r="D1093" s="39" t="s">
        <v>38</v>
      </c>
      <c r="E1093" s="39" t="s">
        <v>110</v>
      </c>
      <c r="F1093" s="39" t="n">
        <v>3</v>
      </c>
      <c r="G1093" s="41" t="n">
        <v>958</v>
      </c>
      <c r="H1093" s="42" t="n">
        <f aca="false">F1093*G1093</f>
        <v>2874</v>
      </c>
      <c r="I1093" s="39" t="s">
        <v>36</v>
      </c>
      <c r="J1093" s="39" t="s">
        <v>45</v>
      </c>
      <c r="K1093" s="39"/>
    </row>
    <row r="1094" customFormat="false" ht="15" hidden="false" customHeight="false" outlineLevel="0" collapsed="false">
      <c r="A1094" s="39" t="s">
        <v>1204</v>
      </c>
      <c r="B1094" s="40" t="n">
        <v>46288</v>
      </c>
      <c r="C1094" s="39" t="s">
        <v>50</v>
      </c>
      <c r="D1094" s="39" t="s">
        <v>35</v>
      </c>
      <c r="E1094" s="39" t="s">
        <v>95</v>
      </c>
      <c r="F1094" s="39" t="n">
        <v>2</v>
      </c>
      <c r="G1094" s="41" t="n">
        <v>748</v>
      </c>
      <c r="H1094" s="42" t="n">
        <f aca="false">F1094*G1094</f>
        <v>1496</v>
      </c>
      <c r="I1094" s="39" t="s">
        <v>36</v>
      </c>
      <c r="J1094" s="39" t="s">
        <v>42</v>
      </c>
      <c r="K1094" s="39" t="n">
        <v>5</v>
      </c>
    </row>
    <row r="1095" customFormat="false" ht="15" hidden="false" customHeight="false" outlineLevel="0" collapsed="false">
      <c r="A1095" s="39" t="s">
        <v>1205</v>
      </c>
      <c r="B1095" s="40" t="n">
        <v>46288</v>
      </c>
      <c r="C1095" s="39" t="s">
        <v>109</v>
      </c>
      <c r="D1095" s="39" t="s">
        <v>39</v>
      </c>
      <c r="E1095" s="39" t="s">
        <v>105</v>
      </c>
      <c r="F1095" s="39" t="n">
        <v>1</v>
      </c>
      <c r="G1095" s="41" t="n">
        <v>758</v>
      </c>
      <c r="H1095" s="42" t="n">
        <f aca="false">F1095*G1095</f>
        <v>758</v>
      </c>
      <c r="I1095" s="39" t="s">
        <v>34</v>
      </c>
      <c r="J1095" s="39" t="s">
        <v>42</v>
      </c>
      <c r="K1095" s="39" t="n">
        <v>5</v>
      </c>
    </row>
    <row r="1096" customFormat="false" ht="15" hidden="false" customHeight="false" outlineLevel="0" collapsed="false">
      <c r="A1096" s="39" t="s">
        <v>1206</v>
      </c>
      <c r="B1096" s="40" t="n">
        <v>46288</v>
      </c>
      <c r="C1096" s="39" t="s">
        <v>50</v>
      </c>
      <c r="D1096" s="39" t="s">
        <v>33</v>
      </c>
      <c r="E1096" s="39" t="s">
        <v>102</v>
      </c>
      <c r="F1096" s="39" t="n">
        <v>2</v>
      </c>
      <c r="G1096" s="41" t="n">
        <v>818</v>
      </c>
      <c r="H1096" s="42" t="n">
        <f aca="false">F1096*G1096</f>
        <v>1636</v>
      </c>
      <c r="I1096" s="39" t="s">
        <v>34</v>
      </c>
      <c r="J1096" s="39" t="s">
        <v>42</v>
      </c>
      <c r="K1096" s="39" t="n">
        <v>3</v>
      </c>
    </row>
    <row r="1097" customFormat="false" ht="15" hidden="false" customHeight="false" outlineLevel="0" collapsed="false">
      <c r="A1097" s="39" t="s">
        <v>1207</v>
      </c>
      <c r="B1097" s="40" t="n">
        <v>46289</v>
      </c>
      <c r="C1097" s="39" t="s">
        <v>53</v>
      </c>
      <c r="D1097" s="39" t="s">
        <v>38</v>
      </c>
      <c r="E1097" s="39" t="s">
        <v>107</v>
      </c>
      <c r="F1097" s="39" t="n">
        <v>2</v>
      </c>
      <c r="G1097" s="41" t="n">
        <v>928</v>
      </c>
      <c r="H1097" s="42" t="n">
        <f aca="false">F1097*G1097</f>
        <v>1856</v>
      </c>
      <c r="I1097" s="39" t="s">
        <v>34</v>
      </c>
      <c r="J1097" s="39" t="s">
        <v>45</v>
      </c>
      <c r="K1097" s="39"/>
    </row>
    <row r="1098" customFormat="false" ht="15" hidden="false" customHeight="false" outlineLevel="0" collapsed="false">
      <c r="A1098" s="39" t="s">
        <v>1208</v>
      </c>
      <c r="B1098" s="40" t="n">
        <v>46289</v>
      </c>
      <c r="C1098" s="39" t="s">
        <v>109</v>
      </c>
      <c r="D1098" s="39" t="s">
        <v>35</v>
      </c>
      <c r="E1098" s="39" t="s">
        <v>125</v>
      </c>
      <c r="F1098" s="39" t="n">
        <v>1</v>
      </c>
      <c r="G1098" s="41" t="n">
        <v>798</v>
      </c>
      <c r="H1098" s="42" t="n">
        <f aca="false">F1098*G1098</f>
        <v>798</v>
      </c>
      <c r="I1098" s="39" t="s">
        <v>36</v>
      </c>
      <c r="J1098" s="39" t="s">
        <v>42</v>
      </c>
      <c r="K1098" s="39" t="n">
        <v>5</v>
      </c>
    </row>
    <row r="1099" customFormat="false" ht="15" hidden="false" customHeight="false" outlineLevel="0" collapsed="false">
      <c r="A1099" s="39" t="s">
        <v>1209</v>
      </c>
      <c r="B1099" s="40" t="n">
        <v>46289</v>
      </c>
      <c r="C1099" s="39" t="s">
        <v>49</v>
      </c>
      <c r="D1099" s="39" t="s">
        <v>35</v>
      </c>
      <c r="E1099" s="39" t="s">
        <v>159</v>
      </c>
      <c r="F1099" s="39" t="n">
        <v>1</v>
      </c>
      <c r="G1099" s="41" t="n">
        <v>718</v>
      </c>
      <c r="H1099" s="42" t="n">
        <f aca="false">F1099*G1099</f>
        <v>718</v>
      </c>
      <c r="I1099" s="39" t="s">
        <v>34</v>
      </c>
      <c r="J1099" s="39" t="s">
        <v>42</v>
      </c>
      <c r="K1099" s="39" t="n">
        <v>4</v>
      </c>
    </row>
    <row r="1100" customFormat="false" ht="15" hidden="false" customHeight="false" outlineLevel="0" collapsed="false">
      <c r="A1100" s="39" t="s">
        <v>1210</v>
      </c>
      <c r="B1100" s="40" t="n">
        <v>46289</v>
      </c>
      <c r="C1100" s="39" t="s">
        <v>49</v>
      </c>
      <c r="D1100" s="39" t="s">
        <v>37</v>
      </c>
      <c r="E1100" s="39" t="s">
        <v>141</v>
      </c>
      <c r="F1100" s="39" t="n">
        <v>1</v>
      </c>
      <c r="G1100" s="41" t="n">
        <v>448</v>
      </c>
      <c r="H1100" s="42" t="n">
        <f aca="false">F1100*G1100</f>
        <v>448</v>
      </c>
      <c r="I1100" s="39" t="s">
        <v>34</v>
      </c>
      <c r="J1100" s="39" t="s">
        <v>42</v>
      </c>
      <c r="K1100" s="39" t="n">
        <v>5</v>
      </c>
    </row>
    <row r="1101" customFormat="false" ht="15" hidden="false" customHeight="false" outlineLevel="0" collapsed="false">
      <c r="A1101" s="39" t="s">
        <v>1211</v>
      </c>
      <c r="B1101" s="40" t="n">
        <v>46289</v>
      </c>
      <c r="C1101" s="39" t="s">
        <v>53</v>
      </c>
      <c r="D1101" s="39" t="s">
        <v>33</v>
      </c>
      <c r="E1101" s="39" t="s">
        <v>102</v>
      </c>
      <c r="F1101" s="39" t="n">
        <v>3</v>
      </c>
      <c r="G1101" s="41" t="n">
        <v>888</v>
      </c>
      <c r="H1101" s="42" t="n">
        <f aca="false">F1101*G1101</f>
        <v>2664</v>
      </c>
      <c r="I1101" s="39" t="s">
        <v>34</v>
      </c>
      <c r="J1101" s="39" t="s">
        <v>42</v>
      </c>
      <c r="K1101" s="39" t="n">
        <v>4</v>
      </c>
    </row>
    <row r="1102" customFormat="false" ht="15" hidden="false" customHeight="false" outlineLevel="0" collapsed="false">
      <c r="A1102" s="39" t="s">
        <v>1212</v>
      </c>
      <c r="B1102" s="40" t="n">
        <v>46289</v>
      </c>
      <c r="C1102" s="39" t="s">
        <v>50</v>
      </c>
      <c r="D1102" s="39" t="s">
        <v>33</v>
      </c>
      <c r="E1102" s="39" t="s">
        <v>102</v>
      </c>
      <c r="F1102" s="39" t="n">
        <v>1</v>
      </c>
      <c r="G1102" s="41" t="n">
        <v>578</v>
      </c>
      <c r="H1102" s="42" t="n">
        <f aca="false">F1102*G1102</f>
        <v>578</v>
      </c>
      <c r="I1102" s="39" t="s">
        <v>34</v>
      </c>
      <c r="J1102" s="39" t="s">
        <v>42</v>
      </c>
      <c r="K1102" s="39" t="n">
        <v>3</v>
      </c>
    </row>
    <row r="1103" customFormat="false" ht="15" hidden="false" customHeight="false" outlineLevel="0" collapsed="false">
      <c r="A1103" s="39" t="s">
        <v>1213</v>
      </c>
      <c r="B1103" s="40" t="n">
        <v>46289</v>
      </c>
      <c r="C1103" s="39" t="s">
        <v>48</v>
      </c>
      <c r="D1103" s="39" t="s">
        <v>38</v>
      </c>
      <c r="E1103" s="39" t="s">
        <v>121</v>
      </c>
      <c r="F1103" s="39" t="n">
        <v>1</v>
      </c>
      <c r="G1103" s="41" t="n">
        <v>878</v>
      </c>
      <c r="H1103" s="42" t="n">
        <f aca="false">F1103*G1103</f>
        <v>878</v>
      </c>
      <c r="I1103" s="39" t="s">
        <v>34</v>
      </c>
      <c r="J1103" s="39" t="s">
        <v>42</v>
      </c>
      <c r="K1103" s="39" t="n">
        <v>2</v>
      </c>
    </row>
    <row r="1104" customFormat="false" ht="15" hidden="false" customHeight="false" outlineLevel="0" collapsed="false">
      <c r="A1104" s="39" t="s">
        <v>1214</v>
      </c>
      <c r="B1104" s="40" t="n">
        <v>46289</v>
      </c>
      <c r="C1104" s="39" t="s">
        <v>52</v>
      </c>
      <c r="D1104" s="39" t="s">
        <v>37</v>
      </c>
      <c r="E1104" s="39" t="s">
        <v>131</v>
      </c>
      <c r="F1104" s="39" t="n">
        <v>1</v>
      </c>
      <c r="G1104" s="41" t="n">
        <v>388</v>
      </c>
      <c r="H1104" s="42" t="n">
        <f aca="false">F1104*G1104</f>
        <v>388</v>
      </c>
      <c r="I1104" s="39" t="s">
        <v>34</v>
      </c>
      <c r="J1104" s="39" t="s">
        <v>42</v>
      </c>
      <c r="K1104" s="39" t="n">
        <v>3</v>
      </c>
    </row>
    <row r="1105" customFormat="false" ht="15" hidden="false" customHeight="false" outlineLevel="0" collapsed="false">
      <c r="A1105" s="39" t="s">
        <v>1215</v>
      </c>
      <c r="B1105" s="40" t="n">
        <v>46289</v>
      </c>
      <c r="C1105" s="39" t="s">
        <v>109</v>
      </c>
      <c r="D1105" s="39" t="s">
        <v>38</v>
      </c>
      <c r="E1105" s="39" t="s">
        <v>110</v>
      </c>
      <c r="F1105" s="39" t="n">
        <v>1</v>
      </c>
      <c r="G1105" s="41" t="n">
        <v>628</v>
      </c>
      <c r="H1105" s="42" t="n">
        <f aca="false">F1105*G1105</f>
        <v>628</v>
      </c>
      <c r="I1105" s="39" t="s">
        <v>34</v>
      </c>
      <c r="J1105" s="39" t="s">
        <v>42</v>
      </c>
      <c r="K1105" s="39" t="n">
        <v>5</v>
      </c>
    </row>
    <row r="1106" customFormat="false" ht="15" hidden="false" customHeight="false" outlineLevel="0" collapsed="false">
      <c r="A1106" s="39" t="s">
        <v>1216</v>
      </c>
      <c r="B1106" s="40" t="n">
        <v>46289</v>
      </c>
      <c r="C1106" s="39" t="s">
        <v>50</v>
      </c>
      <c r="D1106" s="39" t="s">
        <v>39</v>
      </c>
      <c r="E1106" s="39" t="s">
        <v>99</v>
      </c>
      <c r="F1106" s="39" t="n">
        <v>1</v>
      </c>
      <c r="G1106" s="41" t="n">
        <v>718</v>
      </c>
      <c r="H1106" s="42" t="n">
        <f aca="false">F1106*G1106</f>
        <v>718</v>
      </c>
      <c r="I1106" s="39" t="s">
        <v>34</v>
      </c>
      <c r="J1106" s="39" t="s">
        <v>42</v>
      </c>
      <c r="K1106" s="39" t="n">
        <v>6</v>
      </c>
    </row>
    <row r="1107" customFormat="false" ht="15" hidden="false" customHeight="false" outlineLevel="0" collapsed="false">
      <c r="A1107" s="39" t="s">
        <v>1217</v>
      </c>
      <c r="B1107" s="40" t="n">
        <v>46289</v>
      </c>
      <c r="C1107" s="39" t="s">
        <v>109</v>
      </c>
      <c r="D1107" s="39" t="s">
        <v>39</v>
      </c>
      <c r="E1107" s="39" t="s">
        <v>105</v>
      </c>
      <c r="F1107" s="39" t="n">
        <v>1</v>
      </c>
      <c r="G1107" s="41" t="n">
        <v>848</v>
      </c>
      <c r="H1107" s="42" t="n">
        <f aca="false">F1107*G1107</f>
        <v>848</v>
      </c>
      <c r="I1107" s="39" t="s">
        <v>36</v>
      </c>
      <c r="J1107" s="39" t="s">
        <v>42</v>
      </c>
      <c r="K1107" s="39" t="n">
        <v>7</v>
      </c>
    </row>
    <row r="1108" customFormat="false" ht="15" hidden="false" customHeight="false" outlineLevel="0" collapsed="false">
      <c r="A1108" s="39" t="s">
        <v>1218</v>
      </c>
      <c r="B1108" s="40" t="n">
        <v>46289</v>
      </c>
      <c r="C1108" s="39" t="s">
        <v>49</v>
      </c>
      <c r="D1108" s="39" t="s">
        <v>39</v>
      </c>
      <c r="E1108" s="39" t="s">
        <v>105</v>
      </c>
      <c r="F1108" s="39" t="n">
        <v>2</v>
      </c>
      <c r="G1108" s="41" t="n">
        <v>1148</v>
      </c>
      <c r="H1108" s="42" t="n">
        <f aca="false">F1108*G1108</f>
        <v>2296</v>
      </c>
      <c r="I1108" s="39" t="s">
        <v>34</v>
      </c>
      <c r="J1108" s="39" t="s">
        <v>43</v>
      </c>
      <c r="K1108" s="39" t="n">
        <v>4</v>
      </c>
    </row>
    <row r="1109" customFormat="false" ht="15" hidden="false" customHeight="false" outlineLevel="0" collapsed="false">
      <c r="A1109" s="39" t="s">
        <v>1219</v>
      </c>
      <c r="B1109" s="40" t="n">
        <v>46289</v>
      </c>
      <c r="C1109" s="39" t="s">
        <v>50</v>
      </c>
      <c r="D1109" s="39" t="s">
        <v>39</v>
      </c>
      <c r="E1109" s="39" t="s">
        <v>99</v>
      </c>
      <c r="F1109" s="39" t="n">
        <v>1</v>
      </c>
      <c r="G1109" s="41" t="n">
        <v>718</v>
      </c>
      <c r="H1109" s="42" t="n">
        <f aca="false">F1109*G1109</f>
        <v>718</v>
      </c>
      <c r="I1109" s="39" t="s">
        <v>34</v>
      </c>
      <c r="J1109" s="39" t="s">
        <v>42</v>
      </c>
      <c r="K1109" s="39" t="n">
        <v>5</v>
      </c>
    </row>
    <row r="1110" customFormat="false" ht="15" hidden="false" customHeight="false" outlineLevel="0" collapsed="false">
      <c r="A1110" s="39" t="s">
        <v>1220</v>
      </c>
      <c r="B1110" s="40" t="n">
        <v>46289</v>
      </c>
      <c r="C1110" s="39" t="s">
        <v>52</v>
      </c>
      <c r="D1110" s="39" t="s">
        <v>35</v>
      </c>
      <c r="E1110" s="39" t="s">
        <v>95</v>
      </c>
      <c r="F1110" s="39" t="n">
        <v>1</v>
      </c>
      <c r="G1110" s="41" t="n">
        <v>678</v>
      </c>
      <c r="H1110" s="42" t="n">
        <f aca="false">F1110*G1110</f>
        <v>678</v>
      </c>
      <c r="I1110" s="39" t="s">
        <v>36</v>
      </c>
      <c r="J1110" s="39" t="s">
        <v>42</v>
      </c>
      <c r="K1110" s="39" t="n">
        <v>5</v>
      </c>
    </row>
    <row r="1111" customFormat="false" ht="15" hidden="false" customHeight="false" outlineLevel="0" collapsed="false">
      <c r="A1111" s="39" t="s">
        <v>1221</v>
      </c>
      <c r="B1111" s="40" t="n">
        <v>46289</v>
      </c>
      <c r="C1111" s="39" t="s">
        <v>101</v>
      </c>
      <c r="D1111" s="39" t="s">
        <v>37</v>
      </c>
      <c r="E1111" s="39" t="s">
        <v>131</v>
      </c>
      <c r="F1111" s="39" t="n">
        <v>2</v>
      </c>
      <c r="G1111" s="41" t="n">
        <v>598</v>
      </c>
      <c r="H1111" s="42" t="n">
        <f aca="false">F1111*G1111</f>
        <v>1196</v>
      </c>
      <c r="I1111" s="39" t="s">
        <v>36</v>
      </c>
      <c r="J1111" s="39" t="s">
        <v>42</v>
      </c>
      <c r="K1111" s="39" t="n">
        <v>3</v>
      </c>
    </row>
    <row r="1112" customFormat="false" ht="15" hidden="false" customHeight="false" outlineLevel="0" collapsed="false">
      <c r="A1112" s="39" t="s">
        <v>1222</v>
      </c>
      <c r="B1112" s="40" t="n">
        <v>46289</v>
      </c>
      <c r="C1112" s="39" t="s">
        <v>52</v>
      </c>
      <c r="D1112" s="39" t="s">
        <v>39</v>
      </c>
      <c r="E1112" s="39" t="s">
        <v>105</v>
      </c>
      <c r="F1112" s="39" t="n">
        <v>3</v>
      </c>
      <c r="G1112" s="41" t="n">
        <v>1198</v>
      </c>
      <c r="H1112" s="42" t="n">
        <f aca="false">F1112*G1112</f>
        <v>3594</v>
      </c>
      <c r="I1112" s="39" t="s">
        <v>34</v>
      </c>
      <c r="J1112" s="39" t="s">
        <v>42</v>
      </c>
      <c r="K1112" s="39" t="n">
        <v>4</v>
      </c>
    </row>
    <row r="1113" customFormat="false" ht="15" hidden="false" customHeight="false" outlineLevel="0" collapsed="false">
      <c r="A1113" s="39" t="s">
        <v>1223</v>
      </c>
      <c r="B1113" s="40" t="n">
        <v>46290</v>
      </c>
      <c r="C1113" s="39" t="s">
        <v>51</v>
      </c>
      <c r="D1113" s="39" t="s">
        <v>33</v>
      </c>
      <c r="E1113" s="39" t="s">
        <v>136</v>
      </c>
      <c r="F1113" s="39" t="n">
        <v>2</v>
      </c>
      <c r="G1113" s="41" t="n">
        <v>468</v>
      </c>
      <c r="H1113" s="42" t="n">
        <f aca="false">F1113*G1113</f>
        <v>936</v>
      </c>
      <c r="I1113" s="39" t="s">
        <v>34</v>
      </c>
      <c r="J1113" s="39" t="s">
        <v>42</v>
      </c>
      <c r="K1113" s="39" t="n">
        <v>4</v>
      </c>
    </row>
    <row r="1114" customFormat="false" ht="15" hidden="false" customHeight="false" outlineLevel="0" collapsed="false">
      <c r="A1114" s="39" t="s">
        <v>1224</v>
      </c>
      <c r="B1114" s="40" t="n">
        <v>46290</v>
      </c>
      <c r="C1114" s="39" t="s">
        <v>48</v>
      </c>
      <c r="D1114" s="39" t="s">
        <v>33</v>
      </c>
      <c r="E1114" s="39" t="s">
        <v>136</v>
      </c>
      <c r="F1114" s="39" t="n">
        <v>2</v>
      </c>
      <c r="G1114" s="41" t="n">
        <v>328</v>
      </c>
      <c r="H1114" s="42" t="n">
        <f aca="false">F1114*G1114</f>
        <v>656</v>
      </c>
      <c r="I1114" s="39" t="s">
        <v>34</v>
      </c>
      <c r="J1114" s="39" t="s">
        <v>42</v>
      </c>
      <c r="K1114" s="39" t="n">
        <v>3</v>
      </c>
    </row>
    <row r="1115" customFormat="false" ht="15" hidden="false" customHeight="false" outlineLevel="0" collapsed="false">
      <c r="A1115" s="39" t="s">
        <v>1225</v>
      </c>
      <c r="B1115" s="40" t="n">
        <v>46290</v>
      </c>
      <c r="C1115" s="39" t="s">
        <v>50</v>
      </c>
      <c r="D1115" s="39" t="s">
        <v>33</v>
      </c>
      <c r="E1115" s="39" t="s">
        <v>136</v>
      </c>
      <c r="F1115" s="39" t="n">
        <v>1</v>
      </c>
      <c r="G1115" s="41" t="n">
        <v>538</v>
      </c>
      <c r="H1115" s="42" t="n">
        <f aca="false">F1115*G1115</f>
        <v>538</v>
      </c>
      <c r="I1115" s="39" t="s">
        <v>34</v>
      </c>
      <c r="J1115" s="39" t="s">
        <v>42</v>
      </c>
      <c r="K1115" s="39" t="n">
        <v>2</v>
      </c>
    </row>
    <row r="1116" customFormat="false" ht="15" hidden="false" customHeight="false" outlineLevel="0" collapsed="false">
      <c r="A1116" s="39" t="s">
        <v>1226</v>
      </c>
      <c r="B1116" s="40" t="n">
        <v>46290</v>
      </c>
      <c r="C1116" s="39" t="s">
        <v>50</v>
      </c>
      <c r="D1116" s="39" t="s">
        <v>33</v>
      </c>
      <c r="E1116" s="39" t="s">
        <v>136</v>
      </c>
      <c r="F1116" s="39" t="n">
        <v>1</v>
      </c>
      <c r="G1116" s="41" t="n">
        <v>578</v>
      </c>
      <c r="H1116" s="42" t="n">
        <f aca="false">F1116*G1116</f>
        <v>578</v>
      </c>
      <c r="I1116" s="39" t="s">
        <v>34</v>
      </c>
      <c r="J1116" s="39" t="s">
        <v>42</v>
      </c>
      <c r="K1116" s="39" t="n">
        <v>4</v>
      </c>
    </row>
    <row r="1117" customFormat="false" ht="15" hidden="false" customHeight="false" outlineLevel="0" collapsed="false">
      <c r="A1117" s="39" t="s">
        <v>1227</v>
      </c>
      <c r="B1117" s="40" t="n">
        <v>46290</v>
      </c>
      <c r="C1117" s="39" t="s">
        <v>53</v>
      </c>
      <c r="D1117" s="39" t="s">
        <v>35</v>
      </c>
      <c r="E1117" s="39" t="s">
        <v>159</v>
      </c>
      <c r="F1117" s="39" t="n">
        <v>1</v>
      </c>
      <c r="G1117" s="41" t="n">
        <v>328</v>
      </c>
      <c r="H1117" s="42" t="n">
        <f aca="false">F1117*G1117</f>
        <v>328</v>
      </c>
      <c r="I1117" s="39" t="s">
        <v>36</v>
      </c>
      <c r="J1117" s="39" t="s">
        <v>43</v>
      </c>
      <c r="K1117" s="39" t="n">
        <v>5</v>
      </c>
    </row>
    <row r="1118" customFormat="false" ht="15" hidden="false" customHeight="false" outlineLevel="0" collapsed="false">
      <c r="A1118" s="39" t="s">
        <v>1228</v>
      </c>
      <c r="B1118" s="40" t="n">
        <v>46290</v>
      </c>
      <c r="C1118" s="39" t="s">
        <v>52</v>
      </c>
      <c r="D1118" s="39" t="s">
        <v>37</v>
      </c>
      <c r="E1118" s="39" t="s">
        <v>141</v>
      </c>
      <c r="F1118" s="39" t="n">
        <v>2</v>
      </c>
      <c r="G1118" s="41" t="n">
        <v>418</v>
      </c>
      <c r="H1118" s="42" t="n">
        <f aca="false">F1118*G1118</f>
        <v>836</v>
      </c>
      <c r="I1118" s="39" t="s">
        <v>36</v>
      </c>
      <c r="J1118" s="39" t="s">
        <v>42</v>
      </c>
      <c r="K1118" s="39" t="n">
        <v>4</v>
      </c>
    </row>
    <row r="1119" customFormat="false" ht="15" hidden="false" customHeight="false" outlineLevel="0" collapsed="false">
      <c r="A1119" s="39" t="s">
        <v>1229</v>
      </c>
      <c r="B1119" s="40" t="n">
        <v>46290</v>
      </c>
      <c r="C1119" s="39" t="s">
        <v>53</v>
      </c>
      <c r="D1119" s="39" t="s">
        <v>35</v>
      </c>
      <c r="E1119" s="39" t="s">
        <v>159</v>
      </c>
      <c r="F1119" s="39" t="n">
        <v>3</v>
      </c>
      <c r="G1119" s="41" t="n">
        <v>388</v>
      </c>
      <c r="H1119" s="42" t="n">
        <f aca="false">F1119*G1119</f>
        <v>1164</v>
      </c>
      <c r="I1119" s="39" t="s">
        <v>36</v>
      </c>
      <c r="J1119" s="39" t="s">
        <v>42</v>
      </c>
      <c r="K1119" s="39" t="n">
        <v>3</v>
      </c>
    </row>
    <row r="1120" customFormat="false" ht="15" hidden="false" customHeight="false" outlineLevel="0" collapsed="false">
      <c r="A1120" s="39" t="s">
        <v>1230</v>
      </c>
      <c r="B1120" s="40" t="n">
        <v>46290</v>
      </c>
      <c r="C1120" s="39" t="s">
        <v>53</v>
      </c>
      <c r="D1120" s="39" t="s">
        <v>35</v>
      </c>
      <c r="E1120" s="39" t="s">
        <v>95</v>
      </c>
      <c r="F1120" s="39" t="n">
        <v>1</v>
      </c>
      <c r="G1120" s="41" t="n">
        <v>258</v>
      </c>
      <c r="H1120" s="42" t="n">
        <f aca="false">F1120*G1120</f>
        <v>258</v>
      </c>
      <c r="I1120" s="39" t="s">
        <v>36</v>
      </c>
      <c r="J1120" s="39" t="s">
        <v>42</v>
      </c>
      <c r="K1120" s="39" t="n">
        <v>3</v>
      </c>
    </row>
    <row r="1121" customFormat="false" ht="15" hidden="false" customHeight="false" outlineLevel="0" collapsed="false">
      <c r="A1121" s="39" t="s">
        <v>1231</v>
      </c>
      <c r="B1121" s="40" t="n">
        <v>46290</v>
      </c>
      <c r="C1121" s="39" t="s">
        <v>48</v>
      </c>
      <c r="D1121" s="39" t="s">
        <v>33</v>
      </c>
      <c r="E1121" s="39" t="s">
        <v>117</v>
      </c>
      <c r="F1121" s="39" t="n">
        <v>1</v>
      </c>
      <c r="G1121" s="41" t="n">
        <v>768</v>
      </c>
      <c r="H1121" s="42" t="n">
        <f aca="false">F1121*G1121</f>
        <v>768</v>
      </c>
      <c r="I1121" s="39" t="s">
        <v>34</v>
      </c>
      <c r="J1121" s="39" t="s">
        <v>42</v>
      </c>
      <c r="K1121" s="39" t="n">
        <v>3</v>
      </c>
    </row>
    <row r="1122" customFormat="false" ht="15" hidden="false" customHeight="false" outlineLevel="0" collapsed="false">
      <c r="A1122" s="39" t="s">
        <v>1232</v>
      </c>
      <c r="B1122" s="40" t="n">
        <v>46290</v>
      </c>
      <c r="C1122" s="39" t="s">
        <v>50</v>
      </c>
      <c r="D1122" s="39" t="s">
        <v>33</v>
      </c>
      <c r="E1122" s="39" t="s">
        <v>117</v>
      </c>
      <c r="F1122" s="39" t="n">
        <v>1</v>
      </c>
      <c r="G1122" s="41" t="n">
        <v>308</v>
      </c>
      <c r="H1122" s="42" t="n">
        <f aca="false">F1122*G1122</f>
        <v>308</v>
      </c>
      <c r="I1122" s="39" t="s">
        <v>36</v>
      </c>
      <c r="J1122" s="39" t="s">
        <v>42</v>
      </c>
      <c r="K1122" s="39" t="n">
        <v>4</v>
      </c>
    </row>
    <row r="1123" customFormat="false" ht="15" hidden="false" customHeight="false" outlineLevel="0" collapsed="false">
      <c r="A1123" s="39" t="s">
        <v>1233</v>
      </c>
      <c r="B1123" s="40" t="n">
        <v>46290</v>
      </c>
      <c r="C1123" s="39" t="s">
        <v>51</v>
      </c>
      <c r="D1123" s="39" t="s">
        <v>33</v>
      </c>
      <c r="E1123" s="39" t="s">
        <v>102</v>
      </c>
      <c r="F1123" s="39" t="n">
        <v>1</v>
      </c>
      <c r="G1123" s="41" t="n">
        <v>348</v>
      </c>
      <c r="H1123" s="42" t="n">
        <f aca="false">F1123*G1123</f>
        <v>348</v>
      </c>
      <c r="I1123" s="39" t="s">
        <v>36</v>
      </c>
      <c r="J1123" s="39" t="s">
        <v>42</v>
      </c>
      <c r="K1123" s="39" t="n">
        <v>2</v>
      </c>
    </row>
    <row r="1124" customFormat="false" ht="15" hidden="false" customHeight="false" outlineLevel="0" collapsed="false">
      <c r="A1124" s="39" t="s">
        <v>1234</v>
      </c>
      <c r="B1124" s="40" t="n">
        <v>46290</v>
      </c>
      <c r="C1124" s="39" t="s">
        <v>53</v>
      </c>
      <c r="D1124" s="39" t="s">
        <v>37</v>
      </c>
      <c r="E1124" s="39" t="s">
        <v>131</v>
      </c>
      <c r="F1124" s="39" t="n">
        <v>1</v>
      </c>
      <c r="G1124" s="41" t="n">
        <v>488</v>
      </c>
      <c r="H1124" s="42" t="n">
        <f aca="false">F1124*G1124</f>
        <v>488</v>
      </c>
      <c r="I1124" s="39" t="s">
        <v>34</v>
      </c>
      <c r="J1124" s="39" t="s">
        <v>42</v>
      </c>
      <c r="K1124" s="39" t="n">
        <v>5</v>
      </c>
    </row>
    <row r="1125" customFormat="false" ht="15" hidden="false" customHeight="false" outlineLevel="0" collapsed="false">
      <c r="A1125" s="39" t="s">
        <v>1235</v>
      </c>
      <c r="B1125" s="40" t="n">
        <v>46290</v>
      </c>
      <c r="C1125" s="39" t="s">
        <v>109</v>
      </c>
      <c r="D1125" s="39" t="s">
        <v>35</v>
      </c>
      <c r="E1125" s="39" t="s">
        <v>159</v>
      </c>
      <c r="F1125" s="39" t="n">
        <v>3</v>
      </c>
      <c r="G1125" s="41" t="n">
        <v>508</v>
      </c>
      <c r="H1125" s="42" t="n">
        <f aca="false">F1125*G1125</f>
        <v>1524</v>
      </c>
      <c r="I1125" s="39" t="s">
        <v>34</v>
      </c>
      <c r="J1125" s="39" t="s">
        <v>42</v>
      </c>
      <c r="K1125" s="39" t="n">
        <v>5</v>
      </c>
    </row>
    <row r="1126" customFormat="false" ht="15" hidden="false" customHeight="false" outlineLevel="0" collapsed="false">
      <c r="A1126" s="39" t="s">
        <v>1236</v>
      </c>
      <c r="B1126" s="40" t="n">
        <v>46290</v>
      </c>
      <c r="C1126" s="39" t="s">
        <v>52</v>
      </c>
      <c r="D1126" s="39" t="s">
        <v>37</v>
      </c>
      <c r="E1126" s="39" t="s">
        <v>131</v>
      </c>
      <c r="F1126" s="39" t="n">
        <v>3</v>
      </c>
      <c r="G1126" s="41" t="n">
        <v>218</v>
      </c>
      <c r="H1126" s="42" t="n">
        <f aca="false">F1126*G1126</f>
        <v>654</v>
      </c>
      <c r="I1126" s="39" t="s">
        <v>36</v>
      </c>
      <c r="J1126" s="39" t="s">
        <v>45</v>
      </c>
      <c r="K1126" s="39"/>
    </row>
    <row r="1127" customFormat="false" ht="15" hidden="false" customHeight="false" outlineLevel="0" collapsed="false">
      <c r="A1127" s="39" t="s">
        <v>1237</v>
      </c>
      <c r="B1127" s="40" t="n">
        <v>46290</v>
      </c>
      <c r="C1127" s="39" t="s">
        <v>53</v>
      </c>
      <c r="D1127" s="39" t="s">
        <v>37</v>
      </c>
      <c r="E1127" s="39" t="s">
        <v>141</v>
      </c>
      <c r="F1127" s="39" t="n">
        <v>1</v>
      </c>
      <c r="G1127" s="41" t="n">
        <v>388</v>
      </c>
      <c r="H1127" s="42" t="n">
        <f aca="false">F1127*G1127</f>
        <v>388</v>
      </c>
      <c r="I1127" s="39" t="s">
        <v>34</v>
      </c>
      <c r="J1127" s="39" t="s">
        <v>42</v>
      </c>
      <c r="K1127" s="39" t="n">
        <v>4</v>
      </c>
    </row>
    <row r="1128" customFormat="false" ht="15" hidden="false" customHeight="false" outlineLevel="0" collapsed="false">
      <c r="A1128" s="39" t="s">
        <v>1238</v>
      </c>
      <c r="B1128" s="40" t="n">
        <v>46291</v>
      </c>
      <c r="C1128" s="39" t="s">
        <v>50</v>
      </c>
      <c r="D1128" s="39" t="s">
        <v>37</v>
      </c>
      <c r="E1128" s="39" t="s">
        <v>97</v>
      </c>
      <c r="F1128" s="39" t="n">
        <v>1</v>
      </c>
      <c r="G1128" s="41" t="n">
        <v>608</v>
      </c>
      <c r="H1128" s="42" t="n">
        <f aca="false">F1128*G1128</f>
        <v>608</v>
      </c>
      <c r="I1128" s="39" t="s">
        <v>36</v>
      </c>
      <c r="J1128" s="39" t="s">
        <v>45</v>
      </c>
      <c r="K1128" s="39"/>
    </row>
    <row r="1129" customFormat="false" ht="15" hidden="false" customHeight="false" outlineLevel="0" collapsed="false">
      <c r="A1129" s="39" t="s">
        <v>1239</v>
      </c>
      <c r="B1129" s="40" t="n">
        <v>46291</v>
      </c>
      <c r="C1129" s="39" t="s">
        <v>51</v>
      </c>
      <c r="D1129" s="39" t="s">
        <v>37</v>
      </c>
      <c r="E1129" s="39" t="s">
        <v>97</v>
      </c>
      <c r="F1129" s="39" t="n">
        <v>1</v>
      </c>
      <c r="G1129" s="41" t="n">
        <v>288</v>
      </c>
      <c r="H1129" s="42" t="n">
        <f aca="false">F1129*G1129</f>
        <v>288</v>
      </c>
      <c r="I1129" s="39" t="s">
        <v>34</v>
      </c>
      <c r="J1129" s="39" t="s">
        <v>45</v>
      </c>
      <c r="K1129" s="39"/>
    </row>
    <row r="1130" customFormat="false" ht="15" hidden="false" customHeight="false" outlineLevel="0" collapsed="false">
      <c r="A1130" s="39" t="s">
        <v>1240</v>
      </c>
      <c r="B1130" s="40" t="n">
        <v>46291</v>
      </c>
      <c r="C1130" s="39" t="s">
        <v>51</v>
      </c>
      <c r="D1130" s="39" t="s">
        <v>39</v>
      </c>
      <c r="E1130" s="39" t="s">
        <v>99</v>
      </c>
      <c r="F1130" s="39" t="n">
        <v>1</v>
      </c>
      <c r="G1130" s="41" t="n">
        <v>1038</v>
      </c>
      <c r="H1130" s="42" t="n">
        <f aca="false">F1130*G1130</f>
        <v>1038</v>
      </c>
      <c r="I1130" s="39" t="s">
        <v>34</v>
      </c>
      <c r="J1130" s="39" t="s">
        <v>42</v>
      </c>
      <c r="K1130" s="39" t="n">
        <v>5</v>
      </c>
    </row>
    <row r="1131" customFormat="false" ht="15" hidden="false" customHeight="false" outlineLevel="0" collapsed="false">
      <c r="A1131" s="39" t="s">
        <v>1241</v>
      </c>
      <c r="B1131" s="40" t="n">
        <v>46291</v>
      </c>
      <c r="C1131" s="39" t="s">
        <v>48</v>
      </c>
      <c r="D1131" s="39" t="s">
        <v>38</v>
      </c>
      <c r="E1131" s="39" t="s">
        <v>110</v>
      </c>
      <c r="F1131" s="39" t="n">
        <v>1</v>
      </c>
      <c r="G1131" s="41" t="n">
        <v>998</v>
      </c>
      <c r="H1131" s="42" t="n">
        <f aca="false">F1131*G1131</f>
        <v>998</v>
      </c>
      <c r="I1131" s="39" t="s">
        <v>34</v>
      </c>
      <c r="J1131" s="39" t="s">
        <v>42</v>
      </c>
      <c r="K1131" s="39" t="n">
        <v>4</v>
      </c>
    </row>
    <row r="1132" customFormat="false" ht="15" hidden="false" customHeight="false" outlineLevel="0" collapsed="false">
      <c r="A1132" s="39" t="s">
        <v>1242</v>
      </c>
      <c r="B1132" s="40" t="n">
        <v>46291</v>
      </c>
      <c r="C1132" s="39" t="s">
        <v>49</v>
      </c>
      <c r="D1132" s="39" t="s">
        <v>33</v>
      </c>
      <c r="E1132" s="39" t="s">
        <v>102</v>
      </c>
      <c r="F1132" s="39" t="n">
        <v>1</v>
      </c>
      <c r="G1132" s="41" t="n">
        <v>428</v>
      </c>
      <c r="H1132" s="42" t="n">
        <f aca="false">F1132*G1132</f>
        <v>428</v>
      </c>
      <c r="I1132" s="39" t="s">
        <v>34</v>
      </c>
      <c r="J1132" s="39" t="s">
        <v>42</v>
      </c>
      <c r="K1132" s="39" t="n">
        <v>3</v>
      </c>
    </row>
    <row r="1133" customFormat="false" ht="15" hidden="false" customHeight="false" outlineLevel="0" collapsed="false">
      <c r="A1133" s="39" t="s">
        <v>1243</v>
      </c>
      <c r="B1133" s="40" t="n">
        <v>46291</v>
      </c>
      <c r="C1133" s="39" t="s">
        <v>101</v>
      </c>
      <c r="D1133" s="39" t="s">
        <v>35</v>
      </c>
      <c r="E1133" s="39" t="s">
        <v>125</v>
      </c>
      <c r="F1133" s="39" t="n">
        <v>2</v>
      </c>
      <c r="G1133" s="41" t="n">
        <v>518</v>
      </c>
      <c r="H1133" s="42" t="n">
        <f aca="false">F1133*G1133</f>
        <v>1036</v>
      </c>
      <c r="I1133" s="39" t="s">
        <v>34</v>
      </c>
      <c r="J1133" s="39" t="s">
        <v>42</v>
      </c>
      <c r="K1133" s="39" t="n">
        <v>5</v>
      </c>
    </row>
    <row r="1134" customFormat="false" ht="15" hidden="false" customHeight="false" outlineLevel="0" collapsed="false">
      <c r="A1134" s="39" t="s">
        <v>1244</v>
      </c>
      <c r="B1134" s="40" t="n">
        <v>46291</v>
      </c>
      <c r="C1134" s="39" t="s">
        <v>109</v>
      </c>
      <c r="D1134" s="39" t="s">
        <v>33</v>
      </c>
      <c r="E1134" s="39" t="s">
        <v>102</v>
      </c>
      <c r="F1134" s="39" t="n">
        <v>1</v>
      </c>
      <c r="G1134" s="41" t="n">
        <v>718</v>
      </c>
      <c r="H1134" s="42" t="n">
        <f aca="false">F1134*G1134</f>
        <v>718</v>
      </c>
      <c r="I1134" s="39" t="s">
        <v>34</v>
      </c>
      <c r="J1134" s="39" t="s">
        <v>42</v>
      </c>
      <c r="K1134" s="39" t="n">
        <v>3</v>
      </c>
    </row>
    <row r="1135" customFormat="false" ht="15" hidden="false" customHeight="false" outlineLevel="0" collapsed="false">
      <c r="A1135" s="39" t="s">
        <v>1245</v>
      </c>
      <c r="B1135" s="40" t="n">
        <v>46291</v>
      </c>
      <c r="C1135" s="39" t="s">
        <v>52</v>
      </c>
      <c r="D1135" s="39" t="s">
        <v>35</v>
      </c>
      <c r="E1135" s="39" t="s">
        <v>95</v>
      </c>
      <c r="F1135" s="39" t="n">
        <v>1</v>
      </c>
      <c r="G1135" s="41" t="n">
        <v>598</v>
      </c>
      <c r="H1135" s="42" t="n">
        <f aca="false">F1135*G1135</f>
        <v>598</v>
      </c>
      <c r="I1135" s="39" t="s">
        <v>34</v>
      </c>
      <c r="J1135" s="39" t="s">
        <v>43</v>
      </c>
      <c r="K1135" s="39" t="n">
        <v>2</v>
      </c>
    </row>
    <row r="1136" customFormat="false" ht="15" hidden="false" customHeight="false" outlineLevel="0" collapsed="false">
      <c r="A1136" s="39" t="s">
        <v>1246</v>
      </c>
      <c r="B1136" s="40" t="n">
        <v>46291</v>
      </c>
      <c r="C1136" s="39" t="s">
        <v>52</v>
      </c>
      <c r="D1136" s="39" t="s">
        <v>33</v>
      </c>
      <c r="E1136" s="39" t="s">
        <v>102</v>
      </c>
      <c r="F1136" s="39" t="n">
        <v>3</v>
      </c>
      <c r="G1136" s="41" t="n">
        <v>338</v>
      </c>
      <c r="H1136" s="42" t="n">
        <f aca="false">F1136*G1136</f>
        <v>1014</v>
      </c>
      <c r="I1136" s="39" t="s">
        <v>36</v>
      </c>
      <c r="J1136" s="39" t="s">
        <v>45</v>
      </c>
      <c r="K1136" s="39"/>
    </row>
    <row r="1137" customFormat="false" ht="15" hidden="false" customHeight="false" outlineLevel="0" collapsed="false">
      <c r="A1137" s="39" t="s">
        <v>1247</v>
      </c>
      <c r="B1137" s="40" t="n">
        <v>46291</v>
      </c>
      <c r="C1137" s="39" t="s">
        <v>101</v>
      </c>
      <c r="D1137" s="39" t="s">
        <v>39</v>
      </c>
      <c r="E1137" s="39" t="s">
        <v>105</v>
      </c>
      <c r="F1137" s="39" t="n">
        <v>1</v>
      </c>
      <c r="G1137" s="41" t="n">
        <v>778</v>
      </c>
      <c r="H1137" s="42" t="n">
        <f aca="false">F1137*G1137</f>
        <v>778</v>
      </c>
      <c r="I1137" s="39" t="s">
        <v>34</v>
      </c>
      <c r="J1137" s="39" t="s">
        <v>42</v>
      </c>
      <c r="K1137" s="39" t="n">
        <v>5</v>
      </c>
    </row>
    <row r="1138" customFormat="false" ht="15" hidden="false" customHeight="false" outlineLevel="0" collapsed="false">
      <c r="A1138" s="39" t="s">
        <v>1248</v>
      </c>
      <c r="B1138" s="40" t="n">
        <v>46291</v>
      </c>
      <c r="C1138" s="39" t="s">
        <v>101</v>
      </c>
      <c r="D1138" s="39" t="s">
        <v>35</v>
      </c>
      <c r="E1138" s="39" t="s">
        <v>95</v>
      </c>
      <c r="F1138" s="39" t="n">
        <v>2</v>
      </c>
      <c r="G1138" s="41" t="n">
        <v>478</v>
      </c>
      <c r="H1138" s="42" t="n">
        <f aca="false">F1138*G1138</f>
        <v>956</v>
      </c>
      <c r="I1138" s="39" t="s">
        <v>36</v>
      </c>
      <c r="J1138" s="39" t="s">
        <v>42</v>
      </c>
      <c r="K1138" s="39" t="n">
        <v>4</v>
      </c>
    </row>
    <row r="1139" customFormat="false" ht="15" hidden="false" customHeight="false" outlineLevel="0" collapsed="false">
      <c r="A1139" s="39" t="s">
        <v>1249</v>
      </c>
      <c r="B1139" s="40" t="n">
        <v>46291</v>
      </c>
      <c r="C1139" s="39" t="s">
        <v>50</v>
      </c>
      <c r="D1139" s="39" t="s">
        <v>37</v>
      </c>
      <c r="E1139" s="39" t="s">
        <v>141</v>
      </c>
      <c r="F1139" s="39" t="n">
        <v>1</v>
      </c>
      <c r="G1139" s="41" t="n">
        <v>578</v>
      </c>
      <c r="H1139" s="42" t="n">
        <f aca="false">F1139*G1139</f>
        <v>578</v>
      </c>
      <c r="I1139" s="39" t="s">
        <v>34</v>
      </c>
      <c r="J1139" s="39" t="s">
        <v>42</v>
      </c>
      <c r="K1139" s="39" t="n">
        <v>5</v>
      </c>
    </row>
    <row r="1140" customFormat="false" ht="15" hidden="false" customHeight="false" outlineLevel="0" collapsed="false">
      <c r="A1140" s="39" t="s">
        <v>1250</v>
      </c>
      <c r="B1140" s="40" t="n">
        <v>46291</v>
      </c>
      <c r="C1140" s="39" t="s">
        <v>101</v>
      </c>
      <c r="D1140" s="39" t="s">
        <v>35</v>
      </c>
      <c r="E1140" s="39" t="s">
        <v>125</v>
      </c>
      <c r="F1140" s="39" t="n">
        <v>1</v>
      </c>
      <c r="G1140" s="41" t="n">
        <v>518</v>
      </c>
      <c r="H1140" s="42" t="n">
        <f aca="false">F1140*G1140</f>
        <v>518</v>
      </c>
      <c r="I1140" s="39" t="s">
        <v>36</v>
      </c>
      <c r="J1140" s="39" t="s">
        <v>42</v>
      </c>
      <c r="K1140" s="39" t="n">
        <v>3</v>
      </c>
    </row>
    <row r="1141" customFormat="false" ht="15" hidden="false" customHeight="false" outlineLevel="0" collapsed="false">
      <c r="A1141" s="39" t="s">
        <v>1251</v>
      </c>
      <c r="B1141" s="40" t="n">
        <v>46291</v>
      </c>
      <c r="C1141" s="39" t="s">
        <v>51</v>
      </c>
      <c r="D1141" s="39" t="s">
        <v>39</v>
      </c>
      <c r="E1141" s="39" t="s">
        <v>105</v>
      </c>
      <c r="F1141" s="39" t="n">
        <v>1</v>
      </c>
      <c r="G1141" s="41" t="n">
        <v>548</v>
      </c>
      <c r="H1141" s="42" t="n">
        <f aca="false">F1141*G1141</f>
        <v>548</v>
      </c>
      <c r="I1141" s="39" t="s">
        <v>36</v>
      </c>
      <c r="J1141" s="39" t="s">
        <v>47</v>
      </c>
      <c r="K1141" s="39"/>
    </row>
    <row r="1142" customFormat="false" ht="15" hidden="false" customHeight="false" outlineLevel="0" collapsed="false">
      <c r="A1142" s="39" t="s">
        <v>1252</v>
      </c>
      <c r="B1142" s="40" t="n">
        <v>46291</v>
      </c>
      <c r="C1142" s="39" t="s">
        <v>48</v>
      </c>
      <c r="D1142" s="39" t="s">
        <v>37</v>
      </c>
      <c r="E1142" s="39" t="s">
        <v>131</v>
      </c>
      <c r="F1142" s="39" t="n">
        <v>1</v>
      </c>
      <c r="G1142" s="41" t="n">
        <v>478</v>
      </c>
      <c r="H1142" s="42" t="n">
        <f aca="false">F1142*G1142</f>
        <v>478</v>
      </c>
      <c r="I1142" s="39" t="s">
        <v>34</v>
      </c>
      <c r="J1142" s="39" t="s">
        <v>42</v>
      </c>
      <c r="K1142" s="39" t="n">
        <v>2</v>
      </c>
    </row>
    <row r="1143" customFormat="false" ht="15" hidden="false" customHeight="false" outlineLevel="0" collapsed="false">
      <c r="A1143" s="39" t="s">
        <v>1253</v>
      </c>
      <c r="B1143" s="40" t="n">
        <v>46291</v>
      </c>
      <c r="C1143" s="39" t="s">
        <v>53</v>
      </c>
      <c r="D1143" s="39" t="s">
        <v>35</v>
      </c>
      <c r="E1143" s="39" t="s">
        <v>159</v>
      </c>
      <c r="F1143" s="39" t="n">
        <v>1</v>
      </c>
      <c r="G1143" s="41" t="n">
        <v>758</v>
      </c>
      <c r="H1143" s="42" t="n">
        <f aca="false">F1143*G1143</f>
        <v>758</v>
      </c>
      <c r="I1143" s="39" t="s">
        <v>34</v>
      </c>
      <c r="J1143" s="39" t="s">
        <v>42</v>
      </c>
      <c r="K1143" s="39" t="n">
        <v>3</v>
      </c>
    </row>
    <row r="1144" customFormat="false" ht="15" hidden="false" customHeight="false" outlineLevel="0" collapsed="false">
      <c r="A1144" s="39" t="s">
        <v>1254</v>
      </c>
      <c r="B1144" s="40" t="n">
        <v>46291</v>
      </c>
      <c r="C1144" s="39" t="s">
        <v>48</v>
      </c>
      <c r="D1144" s="39" t="s">
        <v>39</v>
      </c>
      <c r="E1144" s="39" t="s">
        <v>105</v>
      </c>
      <c r="F1144" s="39" t="n">
        <v>1</v>
      </c>
      <c r="G1144" s="41" t="n">
        <v>1138</v>
      </c>
      <c r="H1144" s="42" t="n">
        <f aca="false">F1144*G1144</f>
        <v>1138</v>
      </c>
      <c r="I1144" s="39" t="s">
        <v>36</v>
      </c>
      <c r="J1144" s="39" t="s">
        <v>42</v>
      </c>
      <c r="K1144" s="39" t="n">
        <v>4</v>
      </c>
    </row>
    <row r="1145" customFormat="false" ht="15" hidden="false" customHeight="false" outlineLevel="0" collapsed="false">
      <c r="A1145" s="39" t="s">
        <v>1255</v>
      </c>
      <c r="B1145" s="40" t="n">
        <v>46291</v>
      </c>
      <c r="C1145" s="39" t="s">
        <v>53</v>
      </c>
      <c r="D1145" s="39" t="s">
        <v>38</v>
      </c>
      <c r="E1145" s="39" t="s">
        <v>110</v>
      </c>
      <c r="F1145" s="39" t="n">
        <v>2</v>
      </c>
      <c r="G1145" s="41" t="n">
        <v>668</v>
      </c>
      <c r="H1145" s="42" t="n">
        <f aca="false">F1145*G1145</f>
        <v>1336</v>
      </c>
      <c r="I1145" s="39" t="s">
        <v>34</v>
      </c>
      <c r="J1145" s="39" t="s">
        <v>42</v>
      </c>
      <c r="K1145" s="39" t="n">
        <v>3</v>
      </c>
    </row>
    <row r="1146" customFormat="false" ht="15" hidden="false" customHeight="false" outlineLevel="0" collapsed="false">
      <c r="A1146" s="39" t="s">
        <v>1256</v>
      </c>
      <c r="B1146" s="40" t="n">
        <v>46292</v>
      </c>
      <c r="C1146" s="39" t="s">
        <v>109</v>
      </c>
      <c r="D1146" s="39" t="s">
        <v>33</v>
      </c>
      <c r="E1146" s="39" t="s">
        <v>117</v>
      </c>
      <c r="F1146" s="39" t="n">
        <v>1</v>
      </c>
      <c r="G1146" s="41" t="n">
        <v>528</v>
      </c>
      <c r="H1146" s="42" t="n">
        <f aca="false">F1146*G1146</f>
        <v>528</v>
      </c>
      <c r="I1146" s="39" t="s">
        <v>34</v>
      </c>
      <c r="J1146" s="39" t="s">
        <v>42</v>
      </c>
      <c r="K1146" s="39" t="n">
        <v>4</v>
      </c>
    </row>
    <row r="1147" customFormat="false" ht="15" hidden="false" customHeight="false" outlineLevel="0" collapsed="false">
      <c r="A1147" s="39" t="s">
        <v>1257</v>
      </c>
      <c r="B1147" s="40" t="n">
        <v>46292</v>
      </c>
      <c r="C1147" s="39" t="s">
        <v>49</v>
      </c>
      <c r="D1147" s="39" t="s">
        <v>33</v>
      </c>
      <c r="E1147" s="39" t="s">
        <v>136</v>
      </c>
      <c r="F1147" s="39" t="n">
        <v>1</v>
      </c>
      <c r="G1147" s="41" t="n">
        <v>798</v>
      </c>
      <c r="H1147" s="42" t="n">
        <f aca="false">F1147*G1147</f>
        <v>798</v>
      </c>
      <c r="I1147" s="39" t="s">
        <v>36</v>
      </c>
      <c r="J1147" s="39" t="s">
        <v>42</v>
      </c>
      <c r="K1147" s="39" t="n">
        <v>7</v>
      </c>
    </row>
    <row r="1148" customFormat="false" ht="15" hidden="false" customHeight="false" outlineLevel="0" collapsed="false">
      <c r="A1148" s="39" t="s">
        <v>1258</v>
      </c>
      <c r="B1148" s="40" t="n">
        <v>46292</v>
      </c>
      <c r="C1148" s="39" t="s">
        <v>49</v>
      </c>
      <c r="D1148" s="39" t="s">
        <v>33</v>
      </c>
      <c r="E1148" s="39" t="s">
        <v>136</v>
      </c>
      <c r="F1148" s="39" t="n">
        <v>1</v>
      </c>
      <c r="G1148" s="41" t="n">
        <v>368</v>
      </c>
      <c r="H1148" s="42" t="n">
        <f aca="false">F1148*G1148</f>
        <v>368</v>
      </c>
      <c r="I1148" s="39" t="s">
        <v>36</v>
      </c>
      <c r="J1148" s="39" t="s">
        <v>42</v>
      </c>
      <c r="K1148" s="39" t="n">
        <v>3</v>
      </c>
    </row>
    <row r="1149" customFormat="false" ht="15" hidden="false" customHeight="false" outlineLevel="0" collapsed="false">
      <c r="A1149" s="39" t="s">
        <v>1259</v>
      </c>
      <c r="B1149" s="40" t="n">
        <v>46292</v>
      </c>
      <c r="C1149" s="39" t="s">
        <v>49</v>
      </c>
      <c r="D1149" s="39" t="s">
        <v>33</v>
      </c>
      <c r="E1149" s="39" t="s">
        <v>117</v>
      </c>
      <c r="F1149" s="39" t="n">
        <v>1</v>
      </c>
      <c r="G1149" s="41" t="n">
        <v>818</v>
      </c>
      <c r="H1149" s="42" t="n">
        <f aca="false">F1149*G1149</f>
        <v>818</v>
      </c>
      <c r="I1149" s="39" t="s">
        <v>34</v>
      </c>
      <c r="J1149" s="39" t="s">
        <v>42</v>
      </c>
      <c r="K1149" s="39" t="n">
        <v>3</v>
      </c>
    </row>
    <row r="1150" customFormat="false" ht="15" hidden="false" customHeight="false" outlineLevel="0" collapsed="false">
      <c r="A1150" s="39" t="s">
        <v>1260</v>
      </c>
      <c r="B1150" s="40" t="n">
        <v>46292</v>
      </c>
      <c r="C1150" s="39" t="s">
        <v>53</v>
      </c>
      <c r="D1150" s="39" t="s">
        <v>38</v>
      </c>
      <c r="E1150" s="39" t="s">
        <v>121</v>
      </c>
      <c r="F1150" s="39" t="n">
        <v>1</v>
      </c>
      <c r="G1150" s="41" t="n">
        <v>758</v>
      </c>
      <c r="H1150" s="42" t="n">
        <f aca="false">F1150*G1150</f>
        <v>758</v>
      </c>
      <c r="I1150" s="39" t="s">
        <v>34</v>
      </c>
      <c r="J1150" s="39" t="s">
        <v>42</v>
      </c>
      <c r="K1150" s="39" t="n">
        <v>5</v>
      </c>
    </row>
    <row r="1151" customFormat="false" ht="15" hidden="false" customHeight="false" outlineLevel="0" collapsed="false">
      <c r="A1151" s="39" t="s">
        <v>1261</v>
      </c>
      <c r="B1151" s="40" t="n">
        <v>46292</v>
      </c>
      <c r="C1151" s="39" t="s">
        <v>53</v>
      </c>
      <c r="D1151" s="39" t="s">
        <v>33</v>
      </c>
      <c r="E1151" s="39" t="s">
        <v>102</v>
      </c>
      <c r="F1151" s="39" t="n">
        <v>1</v>
      </c>
      <c r="G1151" s="41" t="n">
        <v>798</v>
      </c>
      <c r="H1151" s="42" t="n">
        <f aca="false">F1151*G1151</f>
        <v>798</v>
      </c>
      <c r="I1151" s="39" t="s">
        <v>34</v>
      </c>
      <c r="J1151" s="39" t="s">
        <v>42</v>
      </c>
      <c r="K1151" s="39" t="n">
        <v>5</v>
      </c>
    </row>
    <row r="1152" customFormat="false" ht="15" hidden="false" customHeight="false" outlineLevel="0" collapsed="false">
      <c r="A1152" s="39" t="s">
        <v>1262</v>
      </c>
      <c r="B1152" s="40" t="n">
        <v>46292</v>
      </c>
      <c r="C1152" s="39" t="s">
        <v>50</v>
      </c>
      <c r="D1152" s="39" t="s">
        <v>33</v>
      </c>
      <c r="E1152" s="39" t="s">
        <v>114</v>
      </c>
      <c r="F1152" s="39" t="n">
        <v>3</v>
      </c>
      <c r="G1152" s="41" t="n">
        <v>558</v>
      </c>
      <c r="H1152" s="42" t="n">
        <f aca="false">F1152*G1152</f>
        <v>1674</v>
      </c>
      <c r="I1152" s="39" t="s">
        <v>34</v>
      </c>
      <c r="J1152" s="39" t="s">
        <v>42</v>
      </c>
      <c r="K1152" s="39" t="n">
        <v>6</v>
      </c>
    </row>
    <row r="1153" customFormat="false" ht="15" hidden="false" customHeight="false" outlineLevel="0" collapsed="false">
      <c r="A1153" s="39" t="s">
        <v>1263</v>
      </c>
      <c r="B1153" s="40" t="n">
        <v>46292</v>
      </c>
      <c r="C1153" s="39" t="s">
        <v>101</v>
      </c>
      <c r="D1153" s="39" t="s">
        <v>38</v>
      </c>
      <c r="E1153" s="39" t="s">
        <v>107</v>
      </c>
      <c r="F1153" s="39" t="n">
        <v>2</v>
      </c>
      <c r="G1153" s="41" t="n">
        <v>578</v>
      </c>
      <c r="H1153" s="42" t="n">
        <f aca="false">F1153*G1153</f>
        <v>1156</v>
      </c>
      <c r="I1153" s="39" t="s">
        <v>36</v>
      </c>
      <c r="J1153" s="39" t="s">
        <v>42</v>
      </c>
      <c r="K1153" s="39" t="n">
        <v>3</v>
      </c>
    </row>
    <row r="1154" customFormat="false" ht="15" hidden="false" customHeight="false" outlineLevel="0" collapsed="false">
      <c r="A1154" s="39" t="s">
        <v>1264</v>
      </c>
      <c r="B1154" s="40" t="n">
        <v>46292</v>
      </c>
      <c r="C1154" s="39" t="s">
        <v>51</v>
      </c>
      <c r="D1154" s="39" t="s">
        <v>38</v>
      </c>
      <c r="E1154" s="39" t="s">
        <v>107</v>
      </c>
      <c r="F1154" s="39" t="n">
        <v>1</v>
      </c>
      <c r="G1154" s="41" t="n">
        <v>418</v>
      </c>
      <c r="H1154" s="42" t="n">
        <f aca="false">F1154*G1154</f>
        <v>418</v>
      </c>
      <c r="I1154" s="39" t="s">
        <v>34</v>
      </c>
      <c r="J1154" s="39" t="s">
        <v>42</v>
      </c>
      <c r="K1154" s="39" t="n">
        <v>4</v>
      </c>
    </row>
    <row r="1155" customFormat="false" ht="15" hidden="false" customHeight="false" outlineLevel="0" collapsed="false">
      <c r="A1155" s="39" t="s">
        <v>1265</v>
      </c>
      <c r="B1155" s="40" t="n">
        <v>46292</v>
      </c>
      <c r="C1155" s="39" t="s">
        <v>48</v>
      </c>
      <c r="D1155" s="39" t="s">
        <v>39</v>
      </c>
      <c r="E1155" s="39" t="s">
        <v>129</v>
      </c>
      <c r="F1155" s="39" t="n">
        <v>2</v>
      </c>
      <c r="G1155" s="41" t="n">
        <v>698</v>
      </c>
      <c r="H1155" s="42" t="n">
        <f aca="false">F1155*G1155</f>
        <v>1396</v>
      </c>
      <c r="I1155" s="39" t="s">
        <v>34</v>
      </c>
      <c r="J1155" s="39" t="s">
        <v>42</v>
      </c>
      <c r="K1155" s="39" t="n">
        <v>2</v>
      </c>
    </row>
    <row r="1156" customFormat="false" ht="15" hidden="false" customHeight="false" outlineLevel="0" collapsed="false">
      <c r="A1156" s="39" t="s">
        <v>1266</v>
      </c>
      <c r="B1156" s="40" t="n">
        <v>46292</v>
      </c>
      <c r="C1156" s="39" t="s">
        <v>101</v>
      </c>
      <c r="D1156" s="39" t="s">
        <v>39</v>
      </c>
      <c r="E1156" s="39" t="s">
        <v>99</v>
      </c>
      <c r="F1156" s="39" t="n">
        <v>2</v>
      </c>
      <c r="G1156" s="41" t="n">
        <v>858</v>
      </c>
      <c r="H1156" s="42" t="n">
        <f aca="false">F1156*G1156</f>
        <v>1716</v>
      </c>
      <c r="I1156" s="39" t="s">
        <v>34</v>
      </c>
      <c r="J1156" s="39" t="s">
        <v>42</v>
      </c>
      <c r="K1156" s="39" t="n">
        <v>3</v>
      </c>
    </row>
    <row r="1157" customFormat="false" ht="15" hidden="false" customHeight="false" outlineLevel="0" collapsed="false">
      <c r="A1157" s="39" t="s">
        <v>1267</v>
      </c>
      <c r="B1157" s="40" t="n">
        <v>46292</v>
      </c>
      <c r="C1157" s="39" t="s">
        <v>52</v>
      </c>
      <c r="D1157" s="39" t="s">
        <v>33</v>
      </c>
      <c r="E1157" s="39" t="s">
        <v>117</v>
      </c>
      <c r="F1157" s="39" t="n">
        <v>3</v>
      </c>
      <c r="G1157" s="41" t="n">
        <v>588</v>
      </c>
      <c r="H1157" s="42" t="n">
        <f aca="false">F1157*G1157</f>
        <v>1764</v>
      </c>
      <c r="I1157" s="39" t="s">
        <v>34</v>
      </c>
      <c r="J1157" s="39" t="s">
        <v>42</v>
      </c>
      <c r="K1157" s="39" t="n">
        <v>2</v>
      </c>
    </row>
    <row r="1158" customFormat="false" ht="15" hidden="false" customHeight="false" outlineLevel="0" collapsed="false">
      <c r="A1158" s="39" t="s">
        <v>1268</v>
      </c>
      <c r="B1158" s="40" t="n">
        <v>46292</v>
      </c>
      <c r="C1158" s="39" t="s">
        <v>51</v>
      </c>
      <c r="D1158" s="39" t="s">
        <v>35</v>
      </c>
      <c r="E1158" s="39" t="s">
        <v>95</v>
      </c>
      <c r="F1158" s="39" t="n">
        <v>1</v>
      </c>
      <c r="G1158" s="41" t="n">
        <v>398</v>
      </c>
      <c r="H1158" s="42" t="n">
        <f aca="false">F1158*G1158</f>
        <v>398</v>
      </c>
      <c r="I1158" s="39" t="s">
        <v>36</v>
      </c>
      <c r="J1158" s="39" t="s">
        <v>42</v>
      </c>
      <c r="K1158" s="39" t="n">
        <v>5</v>
      </c>
    </row>
    <row r="1159" customFormat="false" ht="15" hidden="false" customHeight="false" outlineLevel="0" collapsed="false">
      <c r="A1159" s="39" t="s">
        <v>1269</v>
      </c>
      <c r="B1159" s="40" t="n">
        <v>46292</v>
      </c>
      <c r="C1159" s="39" t="s">
        <v>101</v>
      </c>
      <c r="D1159" s="39" t="s">
        <v>39</v>
      </c>
      <c r="E1159" s="39" t="s">
        <v>105</v>
      </c>
      <c r="F1159" s="39" t="n">
        <v>1</v>
      </c>
      <c r="G1159" s="41" t="n">
        <v>1198</v>
      </c>
      <c r="H1159" s="42" t="n">
        <f aca="false">F1159*G1159</f>
        <v>1198</v>
      </c>
      <c r="I1159" s="39" t="s">
        <v>36</v>
      </c>
      <c r="J1159" s="39" t="s">
        <v>42</v>
      </c>
      <c r="K1159" s="39" t="n">
        <v>7</v>
      </c>
    </row>
    <row r="1160" customFormat="false" ht="15" hidden="false" customHeight="false" outlineLevel="0" collapsed="false">
      <c r="A1160" s="39" t="s">
        <v>1270</v>
      </c>
      <c r="B1160" s="40" t="n">
        <v>46292</v>
      </c>
      <c r="C1160" s="39" t="s">
        <v>101</v>
      </c>
      <c r="D1160" s="39" t="s">
        <v>35</v>
      </c>
      <c r="E1160" s="39" t="s">
        <v>95</v>
      </c>
      <c r="F1160" s="39" t="n">
        <v>1</v>
      </c>
      <c r="G1160" s="41" t="n">
        <v>338</v>
      </c>
      <c r="H1160" s="42" t="n">
        <f aca="false">F1160*G1160</f>
        <v>338</v>
      </c>
      <c r="I1160" s="39" t="s">
        <v>34</v>
      </c>
      <c r="J1160" s="39" t="s">
        <v>42</v>
      </c>
      <c r="K1160" s="39" t="n">
        <v>5</v>
      </c>
    </row>
    <row r="1161" customFormat="false" ht="15" hidden="false" customHeight="false" outlineLevel="0" collapsed="false">
      <c r="A1161" s="39" t="s">
        <v>1271</v>
      </c>
      <c r="B1161" s="40" t="n">
        <v>46292</v>
      </c>
      <c r="C1161" s="39" t="s">
        <v>50</v>
      </c>
      <c r="D1161" s="39" t="s">
        <v>33</v>
      </c>
      <c r="E1161" s="39" t="s">
        <v>117</v>
      </c>
      <c r="F1161" s="39" t="n">
        <v>3</v>
      </c>
      <c r="G1161" s="41" t="n">
        <v>758</v>
      </c>
      <c r="H1161" s="42" t="n">
        <f aca="false">F1161*G1161</f>
        <v>2274</v>
      </c>
      <c r="I1161" s="39" t="s">
        <v>34</v>
      </c>
      <c r="J1161" s="39" t="s">
        <v>42</v>
      </c>
      <c r="K1161" s="39" t="n">
        <v>3</v>
      </c>
    </row>
    <row r="1162" customFormat="false" ht="15" hidden="false" customHeight="false" outlineLevel="0" collapsed="false">
      <c r="A1162" s="39" t="s">
        <v>1272</v>
      </c>
      <c r="B1162" s="40" t="n">
        <v>46293</v>
      </c>
      <c r="C1162" s="39" t="s">
        <v>52</v>
      </c>
      <c r="D1162" s="39" t="s">
        <v>37</v>
      </c>
      <c r="E1162" s="39" t="s">
        <v>141</v>
      </c>
      <c r="F1162" s="39" t="n">
        <v>2</v>
      </c>
      <c r="G1162" s="41" t="n">
        <v>238</v>
      </c>
      <c r="H1162" s="42" t="n">
        <f aca="false">F1162*G1162</f>
        <v>476</v>
      </c>
      <c r="I1162" s="39" t="s">
        <v>34</v>
      </c>
      <c r="J1162" s="39" t="s">
        <v>43</v>
      </c>
      <c r="K1162" s="39" t="n">
        <v>5</v>
      </c>
    </row>
    <row r="1163" customFormat="false" ht="15" hidden="false" customHeight="false" outlineLevel="0" collapsed="false">
      <c r="A1163" s="39" t="s">
        <v>1273</v>
      </c>
      <c r="B1163" s="40" t="n">
        <v>46293</v>
      </c>
      <c r="C1163" s="39" t="s">
        <v>109</v>
      </c>
      <c r="D1163" s="39" t="s">
        <v>37</v>
      </c>
      <c r="E1163" s="39" t="s">
        <v>97</v>
      </c>
      <c r="F1163" s="39" t="n">
        <v>1</v>
      </c>
      <c r="G1163" s="41" t="n">
        <v>498</v>
      </c>
      <c r="H1163" s="42" t="n">
        <f aca="false">F1163*G1163</f>
        <v>498</v>
      </c>
      <c r="I1163" s="39" t="s">
        <v>34</v>
      </c>
      <c r="J1163" s="39" t="s">
        <v>42</v>
      </c>
      <c r="K1163" s="39" t="n">
        <v>5</v>
      </c>
    </row>
    <row r="1164" customFormat="false" ht="15" hidden="false" customHeight="false" outlineLevel="0" collapsed="false">
      <c r="A1164" s="39" t="s">
        <v>1274</v>
      </c>
      <c r="B1164" s="40" t="n">
        <v>46293</v>
      </c>
      <c r="C1164" s="39" t="s">
        <v>49</v>
      </c>
      <c r="D1164" s="39" t="s">
        <v>39</v>
      </c>
      <c r="E1164" s="39" t="s">
        <v>129</v>
      </c>
      <c r="F1164" s="39" t="n">
        <v>1</v>
      </c>
      <c r="G1164" s="41" t="n">
        <v>678</v>
      </c>
      <c r="H1164" s="42" t="n">
        <f aca="false">F1164*G1164</f>
        <v>678</v>
      </c>
      <c r="I1164" s="39" t="s">
        <v>34</v>
      </c>
      <c r="J1164" s="39" t="s">
        <v>42</v>
      </c>
      <c r="K1164" s="39" t="n">
        <v>6</v>
      </c>
    </row>
    <row r="1165" customFormat="false" ht="15" hidden="false" customHeight="false" outlineLevel="0" collapsed="false">
      <c r="A1165" s="39" t="s">
        <v>1275</v>
      </c>
      <c r="B1165" s="40" t="n">
        <v>46293</v>
      </c>
      <c r="C1165" s="39" t="s">
        <v>52</v>
      </c>
      <c r="D1165" s="39" t="s">
        <v>33</v>
      </c>
      <c r="E1165" s="39" t="s">
        <v>102</v>
      </c>
      <c r="F1165" s="39" t="n">
        <v>1</v>
      </c>
      <c r="G1165" s="41" t="n">
        <v>668</v>
      </c>
      <c r="H1165" s="42" t="n">
        <f aca="false">F1165*G1165</f>
        <v>668</v>
      </c>
      <c r="I1165" s="39" t="s">
        <v>36</v>
      </c>
      <c r="J1165" s="39" t="s">
        <v>42</v>
      </c>
      <c r="K1165" s="39" t="n">
        <v>5</v>
      </c>
    </row>
    <row r="1166" customFormat="false" ht="15" hidden="false" customHeight="false" outlineLevel="0" collapsed="false">
      <c r="A1166" s="39" t="s">
        <v>1276</v>
      </c>
      <c r="B1166" s="40" t="n">
        <v>46293</v>
      </c>
      <c r="C1166" s="39" t="s">
        <v>49</v>
      </c>
      <c r="D1166" s="39" t="s">
        <v>33</v>
      </c>
      <c r="E1166" s="39" t="s">
        <v>117</v>
      </c>
      <c r="F1166" s="39" t="n">
        <v>2</v>
      </c>
      <c r="G1166" s="41" t="n">
        <v>358</v>
      </c>
      <c r="H1166" s="42" t="n">
        <f aca="false">F1166*G1166</f>
        <v>716</v>
      </c>
      <c r="I1166" s="39" t="s">
        <v>34</v>
      </c>
      <c r="J1166" s="39" t="s">
        <v>42</v>
      </c>
      <c r="K1166" s="39" t="n">
        <v>3</v>
      </c>
    </row>
    <row r="1167" customFormat="false" ht="15" hidden="false" customHeight="false" outlineLevel="0" collapsed="false">
      <c r="A1167" s="39" t="s">
        <v>1277</v>
      </c>
      <c r="B1167" s="40" t="n">
        <v>46293</v>
      </c>
      <c r="C1167" s="39" t="s">
        <v>51</v>
      </c>
      <c r="D1167" s="39" t="s">
        <v>35</v>
      </c>
      <c r="E1167" s="39" t="s">
        <v>95</v>
      </c>
      <c r="F1167" s="39" t="n">
        <v>1</v>
      </c>
      <c r="G1167" s="41" t="n">
        <v>558</v>
      </c>
      <c r="H1167" s="42" t="n">
        <f aca="false">F1167*G1167</f>
        <v>558</v>
      </c>
      <c r="I1167" s="39" t="s">
        <v>36</v>
      </c>
      <c r="J1167" s="39" t="s">
        <v>42</v>
      </c>
      <c r="K1167" s="39" t="n">
        <v>4</v>
      </c>
    </row>
    <row r="1168" customFormat="false" ht="15" hidden="false" customHeight="false" outlineLevel="0" collapsed="false">
      <c r="A1168" s="39" t="s">
        <v>1278</v>
      </c>
      <c r="B1168" s="40" t="n">
        <v>46293</v>
      </c>
      <c r="C1168" s="39" t="s">
        <v>48</v>
      </c>
      <c r="D1168" s="39" t="s">
        <v>35</v>
      </c>
      <c r="E1168" s="39" t="s">
        <v>159</v>
      </c>
      <c r="F1168" s="39" t="n">
        <v>1</v>
      </c>
      <c r="G1168" s="41" t="n">
        <v>768</v>
      </c>
      <c r="H1168" s="42" t="n">
        <f aca="false">F1168*G1168</f>
        <v>768</v>
      </c>
      <c r="I1168" s="39" t="s">
        <v>34</v>
      </c>
      <c r="J1168" s="39" t="s">
        <v>42</v>
      </c>
      <c r="K1168" s="39" t="n">
        <v>6</v>
      </c>
    </row>
    <row r="1169" customFormat="false" ht="15" hidden="false" customHeight="false" outlineLevel="0" collapsed="false">
      <c r="A1169" s="39" t="s">
        <v>1279</v>
      </c>
      <c r="B1169" s="40" t="n">
        <v>46293</v>
      </c>
      <c r="C1169" s="39" t="s">
        <v>53</v>
      </c>
      <c r="D1169" s="39" t="s">
        <v>33</v>
      </c>
      <c r="E1169" s="39" t="s">
        <v>102</v>
      </c>
      <c r="F1169" s="39" t="n">
        <v>1</v>
      </c>
      <c r="G1169" s="41" t="n">
        <v>718</v>
      </c>
      <c r="H1169" s="42" t="n">
        <f aca="false">F1169*G1169</f>
        <v>718</v>
      </c>
      <c r="I1169" s="39" t="s">
        <v>36</v>
      </c>
      <c r="J1169" s="39" t="s">
        <v>43</v>
      </c>
      <c r="K1169" s="39" t="n">
        <v>4</v>
      </c>
    </row>
    <row r="1170" customFormat="false" ht="15" hidden="false" customHeight="false" outlineLevel="0" collapsed="false">
      <c r="A1170" s="39" t="s">
        <v>1280</v>
      </c>
      <c r="B1170" s="40" t="n">
        <v>46293</v>
      </c>
      <c r="C1170" s="39" t="s">
        <v>48</v>
      </c>
      <c r="D1170" s="39" t="s">
        <v>39</v>
      </c>
      <c r="E1170" s="39" t="s">
        <v>105</v>
      </c>
      <c r="F1170" s="39" t="n">
        <v>1</v>
      </c>
      <c r="G1170" s="41" t="n">
        <v>498</v>
      </c>
      <c r="H1170" s="42" t="n">
        <f aca="false">F1170*G1170</f>
        <v>498</v>
      </c>
      <c r="I1170" s="39" t="s">
        <v>36</v>
      </c>
      <c r="J1170" s="39" t="s">
        <v>42</v>
      </c>
      <c r="K1170" s="39" t="n">
        <v>2</v>
      </c>
    </row>
    <row r="1171" customFormat="false" ht="15" hidden="false" customHeight="false" outlineLevel="0" collapsed="false">
      <c r="A1171" s="39" t="s">
        <v>1281</v>
      </c>
      <c r="B1171" s="40" t="n">
        <v>46293</v>
      </c>
      <c r="C1171" s="39" t="s">
        <v>52</v>
      </c>
      <c r="D1171" s="39" t="s">
        <v>39</v>
      </c>
      <c r="E1171" s="39" t="s">
        <v>129</v>
      </c>
      <c r="F1171" s="39" t="n">
        <v>1</v>
      </c>
      <c r="G1171" s="41" t="n">
        <v>608</v>
      </c>
      <c r="H1171" s="42" t="n">
        <f aca="false">F1171*G1171</f>
        <v>608</v>
      </c>
      <c r="I1171" s="39" t="s">
        <v>34</v>
      </c>
      <c r="J1171" s="39" t="s">
        <v>45</v>
      </c>
      <c r="K1171" s="39"/>
    </row>
    <row r="1172" customFormat="false" ht="15" hidden="false" customHeight="false" outlineLevel="0" collapsed="false">
      <c r="A1172" s="39" t="s">
        <v>1282</v>
      </c>
      <c r="B1172" s="40" t="n">
        <v>46293</v>
      </c>
      <c r="C1172" s="39" t="s">
        <v>49</v>
      </c>
      <c r="D1172" s="39" t="s">
        <v>37</v>
      </c>
      <c r="E1172" s="39" t="s">
        <v>141</v>
      </c>
      <c r="F1172" s="39" t="n">
        <v>1</v>
      </c>
      <c r="G1172" s="41" t="n">
        <v>318</v>
      </c>
      <c r="H1172" s="42" t="n">
        <f aca="false">F1172*G1172</f>
        <v>318</v>
      </c>
      <c r="I1172" s="39" t="s">
        <v>34</v>
      </c>
      <c r="J1172" s="39" t="s">
        <v>42</v>
      </c>
      <c r="K1172" s="39" t="n">
        <v>5</v>
      </c>
    </row>
    <row r="1173" customFormat="false" ht="15" hidden="false" customHeight="false" outlineLevel="0" collapsed="false">
      <c r="A1173" s="39" t="s">
        <v>1283</v>
      </c>
      <c r="B1173" s="40" t="n">
        <v>46293</v>
      </c>
      <c r="C1173" s="39" t="s">
        <v>49</v>
      </c>
      <c r="D1173" s="39" t="s">
        <v>35</v>
      </c>
      <c r="E1173" s="39" t="s">
        <v>159</v>
      </c>
      <c r="F1173" s="39" t="n">
        <v>1</v>
      </c>
      <c r="G1173" s="41" t="n">
        <v>648</v>
      </c>
      <c r="H1173" s="42" t="n">
        <f aca="false">F1173*G1173</f>
        <v>648</v>
      </c>
      <c r="I1173" s="39" t="s">
        <v>34</v>
      </c>
      <c r="J1173" s="39" t="s">
        <v>42</v>
      </c>
      <c r="K1173" s="39" t="n">
        <v>4</v>
      </c>
    </row>
    <row r="1174" customFormat="false" ht="15" hidden="false" customHeight="false" outlineLevel="0" collapsed="false">
      <c r="A1174" s="39" t="s">
        <v>1284</v>
      </c>
      <c r="B1174" s="40" t="n">
        <v>46293</v>
      </c>
      <c r="C1174" s="39" t="s">
        <v>101</v>
      </c>
      <c r="D1174" s="39" t="s">
        <v>35</v>
      </c>
      <c r="E1174" s="39" t="s">
        <v>95</v>
      </c>
      <c r="F1174" s="39" t="n">
        <v>1</v>
      </c>
      <c r="G1174" s="41" t="n">
        <v>788</v>
      </c>
      <c r="H1174" s="42" t="n">
        <f aca="false">F1174*G1174</f>
        <v>788</v>
      </c>
      <c r="I1174" s="39" t="s">
        <v>36</v>
      </c>
      <c r="J1174" s="39" t="s">
        <v>42</v>
      </c>
      <c r="K1174" s="39" t="n">
        <v>6</v>
      </c>
    </row>
    <row r="1175" customFormat="false" ht="15" hidden="false" customHeight="false" outlineLevel="0" collapsed="false">
      <c r="A1175" s="39" t="s">
        <v>1285</v>
      </c>
      <c r="B1175" s="40" t="n">
        <v>46293</v>
      </c>
      <c r="C1175" s="39" t="s">
        <v>48</v>
      </c>
      <c r="D1175" s="39" t="s">
        <v>38</v>
      </c>
      <c r="E1175" s="39" t="s">
        <v>107</v>
      </c>
      <c r="F1175" s="39" t="n">
        <v>1</v>
      </c>
      <c r="G1175" s="41" t="n">
        <v>918</v>
      </c>
      <c r="H1175" s="42" t="n">
        <f aca="false">F1175*G1175</f>
        <v>918</v>
      </c>
      <c r="I1175" s="39" t="s">
        <v>34</v>
      </c>
      <c r="J1175" s="39" t="s">
        <v>42</v>
      </c>
      <c r="K1175" s="39" t="n">
        <v>6</v>
      </c>
    </row>
    <row r="1176" customFormat="false" ht="15" hidden="false" customHeight="false" outlineLevel="0" collapsed="false">
      <c r="A1176" s="39" t="s">
        <v>1286</v>
      </c>
      <c r="B1176" s="40" t="n">
        <v>46293</v>
      </c>
      <c r="C1176" s="39" t="s">
        <v>109</v>
      </c>
      <c r="D1176" s="39" t="s">
        <v>33</v>
      </c>
      <c r="E1176" s="39" t="s">
        <v>102</v>
      </c>
      <c r="F1176" s="39" t="n">
        <v>2</v>
      </c>
      <c r="G1176" s="41" t="n">
        <v>328</v>
      </c>
      <c r="H1176" s="42" t="n">
        <f aca="false">F1176*G1176</f>
        <v>656</v>
      </c>
      <c r="I1176" s="39" t="s">
        <v>36</v>
      </c>
      <c r="J1176" s="39" t="s">
        <v>42</v>
      </c>
      <c r="K1176" s="39" t="n">
        <v>5</v>
      </c>
    </row>
    <row r="1177" customFormat="false" ht="15" hidden="false" customHeight="false" outlineLevel="0" collapsed="false">
      <c r="A1177" s="39" t="s">
        <v>1287</v>
      </c>
      <c r="B1177" s="40" t="n">
        <v>46293</v>
      </c>
      <c r="C1177" s="39" t="s">
        <v>109</v>
      </c>
      <c r="D1177" s="39" t="s">
        <v>35</v>
      </c>
      <c r="E1177" s="39" t="s">
        <v>125</v>
      </c>
      <c r="F1177" s="39" t="n">
        <v>1</v>
      </c>
      <c r="G1177" s="41" t="n">
        <v>318</v>
      </c>
      <c r="H1177" s="42" t="n">
        <f aca="false">F1177*G1177</f>
        <v>318</v>
      </c>
      <c r="I1177" s="39" t="s">
        <v>34</v>
      </c>
      <c r="J1177" s="39" t="s">
        <v>42</v>
      </c>
      <c r="K1177" s="39" t="n">
        <v>4</v>
      </c>
    </row>
    <row r="1178" customFormat="false" ht="15" hidden="false" customHeight="false" outlineLevel="0" collapsed="false">
      <c r="A1178" s="39" t="s">
        <v>1288</v>
      </c>
      <c r="B1178" s="40" t="n">
        <v>46293</v>
      </c>
      <c r="C1178" s="39" t="s">
        <v>109</v>
      </c>
      <c r="D1178" s="39" t="s">
        <v>33</v>
      </c>
      <c r="E1178" s="39" t="s">
        <v>102</v>
      </c>
      <c r="F1178" s="39" t="n">
        <v>1</v>
      </c>
      <c r="G1178" s="41" t="n">
        <v>418</v>
      </c>
      <c r="H1178" s="42" t="n">
        <f aca="false">F1178*G1178</f>
        <v>418</v>
      </c>
      <c r="I1178" s="39" t="s">
        <v>36</v>
      </c>
      <c r="J1178" s="39" t="s">
        <v>42</v>
      </c>
      <c r="K1178" s="39" t="n">
        <v>3</v>
      </c>
    </row>
    <row r="1179" customFormat="false" ht="15" hidden="false" customHeight="false" outlineLevel="0" collapsed="false">
      <c r="A1179" s="39" t="s">
        <v>1289</v>
      </c>
      <c r="B1179" s="40" t="n">
        <v>46294</v>
      </c>
      <c r="C1179" s="39" t="s">
        <v>49</v>
      </c>
      <c r="D1179" s="39" t="s">
        <v>37</v>
      </c>
      <c r="E1179" s="39" t="s">
        <v>131</v>
      </c>
      <c r="F1179" s="39" t="n">
        <v>1</v>
      </c>
      <c r="G1179" s="41" t="n">
        <v>328</v>
      </c>
      <c r="H1179" s="42" t="n">
        <f aca="false">F1179*G1179</f>
        <v>328</v>
      </c>
      <c r="I1179" s="39" t="s">
        <v>34</v>
      </c>
      <c r="J1179" s="39" t="s">
        <v>42</v>
      </c>
      <c r="K1179" s="39" t="n">
        <v>4</v>
      </c>
    </row>
    <row r="1180" customFormat="false" ht="15" hidden="false" customHeight="false" outlineLevel="0" collapsed="false">
      <c r="A1180" s="39" t="s">
        <v>1290</v>
      </c>
      <c r="B1180" s="40" t="n">
        <v>46294</v>
      </c>
      <c r="C1180" s="39" t="s">
        <v>51</v>
      </c>
      <c r="D1180" s="39" t="s">
        <v>38</v>
      </c>
      <c r="E1180" s="39" t="s">
        <v>110</v>
      </c>
      <c r="F1180" s="39" t="n">
        <v>2</v>
      </c>
      <c r="G1180" s="41" t="n">
        <v>358</v>
      </c>
      <c r="H1180" s="42" t="n">
        <f aca="false">F1180*G1180</f>
        <v>716</v>
      </c>
      <c r="I1180" s="39" t="s">
        <v>36</v>
      </c>
      <c r="J1180" s="39" t="s">
        <v>42</v>
      </c>
      <c r="K1180" s="39" t="n">
        <v>4</v>
      </c>
    </row>
    <row r="1181" customFormat="false" ht="15" hidden="false" customHeight="false" outlineLevel="0" collapsed="false">
      <c r="A1181" s="39" t="s">
        <v>1291</v>
      </c>
      <c r="B1181" s="40" t="n">
        <v>46294</v>
      </c>
      <c r="C1181" s="39" t="s">
        <v>48</v>
      </c>
      <c r="D1181" s="39" t="s">
        <v>33</v>
      </c>
      <c r="E1181" s="39" t="s">
        <v>114</v>
      </c>
      <c r="F1181" s="39" t="n">
        <v>1</v>
      </c>
      <c r="G1181" s="41" t="n">
        <v>418</v>
      </c>
      <c r="H1181" s="42" t="n">
        <f aca="false">F1181*G1181</f>
        <v>418</v>
      </c>
      <c r="I1181" s="39" t="s">
        <v>36</v>
      </c>
      <c r="J1181" s="39" t="s">
        <v>42</v>
      </c>
      <c r="K1181" s="39" t="n">
        <v>4</v>
      </c>
    </row>
    <row r="1182" customFormat="false" ht="15" hidden="false" customHeight="false" outlineLevel="0" collapsed="false">
      <c r="A1182" s="39" t="s">
        <v>1292</v>
      </c>
      <c r="B1182" s="40" t="n">
        <v>46294</v>
      </c>
      <c r="C1182" s="39" t="s">
        <v>53</v>
      </c>
      <c r="D1182" s="39" t="s">
        <v>33</v>
      </c>
      <c r="E1182" s="39" t="s">
        <v>136</v>
      </c>
      <c r="F1182" s="39" t="n">
        <v>2</v>
      </c>
      <c r="G1182" s="41" t="n">
        <v>858</v>
      </c>
      <c r="H1182" s="42" t="n">
        <f aca="false">F1182*G1182</f>
        <v>1716</v>
      </c>
      <c r="I1182" s="39" t="s">
        <v>34</v>
      </c>
      <c r="J1182" s="39" t="s">
        <v>42</v>
      </c>
      <c r="K1182" s="39" t="n">
        <v>5</v>
      </c>
    </row>
    <row r="1183" customFormat="false" ht="15" hidden="false" customHeight="false" outlineLevel="0" collapsed="false">
      <c r="A1183" s="39" t="s">
        <v>1293</v>
      </c>
      <c r="B1183" s="40" t="n">
        <v>46294</v>
      </c>
      <c r="C1183" s="39" t="s">
        <v>101</v>
      </c>
      <c r="D1183" s="39" t="s">
        <v>33</v>
      </c>
      <c r="E1183" s="39" t="s">
        <v>114</v>
      </c>
      <c r="F1183" s="39" t="n">
        <v>1</v>
      </c>
      <c r="G1183" s="41" t="n">
        <v>418</v>
      </c>
      <c r="H1183" s="42" t="n">
        <f aca="false">F1183*G1183</f>
        <v>418</v>
      </c>
      <c r="I1183" s="39" t="s">
        <v>34</v>
      </c>
      <c r="J1183" s="39" t="s">
        <v>43</v>
      </c>
      <c r="K1183" s="39" t="n">
        <v>2</v>
      </c>
    </row>
    <row r="1184" customFormat="false" ht="15" hidden="false" customHeight="false" outlineLevel="0" collapsed="false">
      <c r="A1184" s="39" t="s">
        <v>1294</v>
      </c>
      <c r="B1184" s="40" t="n">
        <v>46294</v>
      </c>
      <c r="C1184" s="39" t="s">
        <v>51</v>
      </c>
      <c r="D1184" s="39" t="s">
        <v>37</v>
      </c>
      <c r="E1184" s="39" t="s">
        <v>131</v>
      </c>
      <c r="F1184" s="39" t="n">
        <v>1</v>
      </c>
      <c r="G1184" s="41" t="n">
        <v>488</v>
      </c>
      <c r="H1184" s="42" t="n">
        <f aca="false">F1184*G1184</f>
        <v>488</v>
      </c>
      <c r="I1184" s="39" t="s">
        <v>34</v>
      </c>
      <c r="J1184" s="39" t="s">
        <v>42</v>
      </c>
      <c r="K1184" s="39" t="n">
        <v>5</v>
      </c>
    </row>
    <row r="1185" customFormat="false" ht="15" hidden="false" customHeight="false" outlineLevel="0" collapsed="false">
      <c r="A1185" s="39" t="s">
        <v>1295</v>
      </c>
      <c r="B1185" s="40" t="n">
        <v>46294</v>
      </c>
      <c r="C1185" s="39" t="s">
        <v>51</v>
      </c>
      <c r="D1185" s="39" t="s">
        <v>33</v>
      </c>
      <c r="E1185" s="39" t="s">
        <v>136</v>
      </c>
      <c r="F1185" s="39" t="n">
        <v>1</v>
      </c>
      <c r="G1185" s="41" t="n">
        <v>738</v>
      </c>
      <c r="H1185" s="42" t="n">
        <f aca="false">F1185*G1185</f>
        <v>738</v>
      </c>
      <c r="I1185" s="39" t="s">
        <v>34</v>
      </c>
      <c r="J1185" s="39" t="s">
        <v>45</v>
      </c>
      <c r="K1185" s="39"/>
    </row>
    <row r="1186" customFormat="false" ht="15" hidden="false" customHeight="false" outlineLevel="0" collapsed="false">
      <c r="A1186" s="39" t="s">
        <v>1296</v>
      </c>
      <c r="B1186" s="40" t="n">
        <v>46294</v>
      </c>
      <c r="C1186" s="39" t="s">
        <v>49</v>
      </c>
      <c r="D1186" s="39" t="s">
        <v>33</v>
      </c>
      <c r="E1186" s="39" t="s">
        <v>114</v>
      </c>
      <c r="F1186" s="39" t="n">
        <v>1</v>
      </c>
      <c r="G1186" s="41" t="n">
        <v>868</v>
      </c>
      <c r="H1186" s="42" t="n">
        <f aca="false">F1186*G1186</f>
        <v>868</v>
      </c>
      <c r="I1186" s="39" t="s">
        <v>34</v>
      </c>
      <c r="J1186" s="39" t="s">
        <v>42</v>
      </c>
      <c r="K1186" s="39" t="n">
        <v>3</v>
      </c>
    </row>
    <row r="1187" customFormat="false" ht="15" hidden="false" customHeight="false" outlineLevel="0" collapsed="false">
      <c r="A1187" s="39" t="s">
        <v>1297</v>
      </c>
      <c r="B1187" s="40" t="n">
        <v>46294</v>
      </c>
      <c r="C1187" s="39" t="s">
        <v>52</v>
      </c>
      <c r="D1187" s="39" t="s">
        <v>37</v>
      </c>
      <c r="E1187" s="39" t="s">
        <v>131</v>
      </c>
      <c r="F1187" s="39" t="n">
        <v>1</v>
      </c>
      <c r="G1187" s="41" t="n">
        <v>418</v>
      </c>
      <c r="H1187" s="42" t="n">
        <f aca="false">F1187*G1187</f>
        <v>418</v>
      </c>
      <c r="I1187" s="39" t="s">
        <v>36</v>
      </c>
      <c r="J1187" s="39" t="s">
        <v>43</v>
      </c>
      <c r="K1187" s="39" t="n">
        <v>4</v>
      </c>
    </row>
    <row r="1188" customFormat="false" ht="15" hidden="false" customHeight="false" outlineLevel="0" collapsed="false">
      <c r="A1188" s="39" t="s">
        <v>1298</v>
      </c>
      <c r="B1188" s="40" t="n">
        <v>46294</v>
      </c>
      <c r="C1188" s="39" t="s">
        <v>50</v>
      </c>
      <c r="D1188" s="39" t="s">
        <v>35</v>
      </c>
      <c r="E1188" s="39" t="s">
        <v>95</v>
      </c>
      <c r="F1188" s="39" t="n">
        <v>1</v>
      </c>
      <c r="G1188" s="41" t="n">
        <v>608</v>
      </c>
      <c r="H1188" s="42" t="n">
        <f aca="false">F1188*G1188</f>
        <v>608</v>
      </c>
      <c r="I1188" s="39" t="s">
        <v>34</v>
      </c>
      <c r="J1188" s="39" t="s">
        <v>42</v>
      </c>
      <c r="K1188" s="39" t="n">
        <v>3</v>
      </c>
    </row>
    <row r="1189" customFormat="false" ht="15" hidden="false" customHeight="false" outlineLevel="0" collapsed="false">
      <c r="A1189" s="39" t="s">
        <v>1299</v>
      </c>
      <c r="B1189" s="40" t="n">
        <v>46294</v>
      </c>
      <c r="C1189" s="39" t="s">
        <v>52</v>
      </c>
      <c r="D1189" s="39" t="s">
        <v>38</v>
      </c>
      <c r="E1189" s="39" t="s">
        <v>110</v>
      </c>
      <c r="F1189" s="39" t="n">
        <v>2</v>
      </c>
      <c r="G1189" s="41" t="n">
        <v>738</v>
      </c>
      <c r="H1189" s="42" t="n">
        <f aca="false">F1189*G1189</f>
        <v>1476</v>
      </c>
      <c r="I1189" s="39" t="s">
        <v>34</v>
      </c>
      <c r="J1189" s="39" t="s">
        <v>42</v>
      </c>
      <c r="K1189" s="39" t="n">
        <v>3</v>
      </c>
    </row>
    <row r="1190" customFormat="false" ht="15" hidden="false" customHeight="false" outlineLevel="0" collapsed="false">
      <c r="A1190" s="39" t="s">
        <v>1300</v>
      </c>
      <c r="B1190" s="40" t="n">
        <v>46294</v>
      </c>
      <c r="C1190" s="39" t="s">
        <v>50</v>
      </c>
      <c r="D1190" s="39" t="s">
        <v>37</v>
      </c>
      <c r="E1190" s="39" t="s">
        <v>131</v>
      </c>
      <c r="F1190" s="39" t="n">
        <v>3</v>
      </c>
      <c r="G1190" s="41" t="n">
        <v>568</v>
      </c>
      <c r="H1190" s="42" t="n">
        <f aca="false">F1190*G1190</f>
        <v>1704</v>
      </c>
      <c r="I1190" s="39" t="s">
        <v>36</v>
      </c>
      <c r="J1190" s="39" t="s">
        <v>42</v>
      </c>
      <c r="K1190" s="39" t="n">
        <v>5</v>
      </c>
    </row>
    <row r="1191" customFormat="false" ht="15" hidden="false" customHeight="false" outlineLevel="0" collapsed="false">
      <c r="A1191" s="39" t="s">
        <v>1301</v>
      </c>
      <c r="B1191" s="40" t="n">
        <v>46294</v>
      </c>
      <c r="C1191" s="39" t="s">
        <v>109</v>
      </c>
      <c r="D1191" s="39" t="s">
        <v>38</v>
      </c>
      <c r="E1191" s="39" t="s">
        <v>107</v>
      </c>
      <c r="F1191" s="39" t="n">
        <v>1</v>
      </c>
      <c r="G1191" s="41" t="n">
        <v>538</v>
      </c>
      <c r="H1191" s="42" t="n">
        <f aca="false">F1191*G1191</f>
        <v>538</v>
      </c>
      <c r="I1191" s="39" t="s">
        <v>36</v>
      </c>
      <c r="J1191" s="39" t="s">
        <v>42</v>
      </c>
      <c r="K1191" s="39" t="n">
        <v>2</v>
      </c>
    </row>
    <row r="1192" customFormat="false" ht="15" hidden="false" customHeight="false" outlineLevel="0" collapsed="false">
      <c r="A1192" s="39" t="s">
        <v>1302</v>
      </c>
      <c r="B1192" s="40" t="n">
        <v>46294</v>
      </c>
      <c r="C1192" s="39" t="s">
        <v>48</v>
      </c>
      <c r="D1192" s="39" t="s">
        <v>37</v>
      </c>
      <c r="E1192" s="39" t="s">
        <v>131</v>
      </c>
      <c r="F1192" s="39" t="n">
        <v>3</v>
      </c>
      <c r="G1192" s="41" t="n">
        <v>548</v>
      </c>
      <c r="H1192" s="42" t="n">
        <f aca="false">F1192*G1192</f>
        <v>1644</v>
      </c>
      <c r="I1192" s="39" t="s">
        <v>34</v>
      </c>
      <c r="J1192" s="39" t="s">
        <v>42</v>
      </c>
      <c r="K1192" s="39" t="n">
        <v>4</v>
      </c>
    </row>
    <row r="1193" customFormat="false" ht="15" hidden="false" customHeight="false" outlineLevel="0" collapsed="false">
      <c r="A1193" s="39" t="s">
        <v>1303</v>
      </c>
      <c r="B1193" s="40" t="n">
        <v>46295</v>
      </c>
      <c r="C1193" s="39" t="s">
        <v>52</v>
      </c>
      <c r="D1193" s="39" t="s">
        <v>37</v>
      </c>
      <c r="E1193" s="39" t="s">
        <v>141</v>
      </c>
      <c r="F1193" s="39" t="n">
        <v>1</v>
      </c>
      <c r="G1193" s="41" t="n">
        <v>628</v>
      </c>
      <c r="H1193" s="42" t="n">
        <f aca="false">F1193*G1193</f>
        <v>628</v>
      </c>
      <c r="I1193" s="39" t="s">
        <v>36</v>
      </c>
      <c r="J1193" s="39" t="s">
        <v>42</v>
      </c>
      <c r="K1193" s="39" t="n">
        <v>3</v>
      </c>
    </row>
    <row r="1194" customFormat="false" ht="15" hidden="false" customHeight="false" outlineLevel="0" collapsed="false">
      <c r="A1194" s="39" t="s">
        <v>1304</v>
      </c>
      <c r="B1194" s="40" t="n">
        <v>46295</v>
      </c>
      <c r="C1194" s="39" t="s">
        <v>101</v>
      </c>
      <c r="D1194" s="39" t="s">
        <v>35</v>
      </c>
      <c r="E1194" s="39" t="s">
        <v>125</v>
      </c>
      <c r="F1194" s="39" t="n">
        <v>1</v>
      </c>
      <c r="G1194" s="41" t="n">
        <v>708</v>
      </c>
      <c r="H1194" s="42" t="n">
        <f aca="false">F1194*G1194</f>
        <v>708</v>
      </c>
      <c r="I1194" s="39" t="s">
        <v>36</v>
      </c>
      <c r="J1194" s="39" t="s">
        <v>42</v>
      </c>
      <c r="K1194" s="39" t="n">
        <v>7</v>
      </c>
    </row>
    <row r="1195" customFormat="false" ht="15" hidden="false" customHeight="false" outlineLevel="0" collapsed="false">
      <c r="A1195" s="39" t="s">
        <v>1305</v>
      </c>
      <c r="B1195" s="40" t="n">
        <v>46295</v>
      </c>
      <c r="C1195" s="39" t="s">
        <v>49</v>
      </c>
      <c r="D1195" s="39" t="s">
        <v>38</v>
      </c>
      <c r="E1195" s="39" t="s">
        <v>121</v>
      </c>
      <c r="F1195" s="39" t="n">
        <v>2</v>
      </c>
      <c r="G1195" s="41" t="n">
        <v>638</v>
      </c>
      <c r="H1195" s="42" t="n">
        <f aca="false">F1195*G1195</f>
        <v>1276</v>
      </c>
      <c r="I1195" s="39" t="s">
        <v>34</v>
      </c>
      <c r="J1195" s="39" t="s">
        <v>42</v>
      </c>
      <c r="K1195" s="39" t="n">
        <v>3</v>
      </c>
    </row>
    <row r="1196" customFormat="false" ht="15" hidden="false" customHeight="false" outlineLevel="0" collapsed="false">
      <c r="A1196" s="39" t="s">
        <v>1306</v>
      </c>
      <c r="B1196" s="40" t="n">
        <v>46295</v>
      </c>
      <c r="C1196" s="39" t="s">
        <v>53</v>
      </c>
      <c r="D1196" s="39" t="s">
        <v>33</v>
      </c>
      <c r="E1196" s="39" t="s">
        <v>136</v>
      </c>
      <c r="F1196" s="39" t="n">
        <v>2</v>
      </c>
      <c r="G1196" s="41" t="n">
        <v>858</v>
      </c>
      <c r="H1196" s="42" t="n">
        <f aca="false">F1196*G1196</f>
        <v>1716</v>
      </c>
      <c r="I1196" s="39" t="s">
        <v>34</v>
      </c>
      <c r="J1196" s="39" t="s">
        <v>43</v>
      </c>
      <c r="K1196" s="39" t="n">
        <v>3</v>
      </c>
    </row>
    <row r="1197" customFormat="false" ht="15" hidden="false" customHeight="false" outlineLevel="0" collapsed="false">
      <c r="A1197" s="39" t="s">
        <v>1307</v>
      </c>
      <c r="B1197" s="40" t="n">
        <v>46295</v>
      </c>
      <c r="C1197" s="39" t="s">
        <v>53</v>
      </c>
      <c r="D1197" s="39" t="s">
        <v>35</v>
      </c>
      <c r="E1197" s="39" t="s">
        <v>125</v>
      </c>
      <c r="F1197" s="39" t="n">
        <v>1</v>
      </c>
      <c r="G1197" s="41" t="n">
        <v>568</v>
      </c>
      <c r="H1197" s="42" t="n">
        <f aca="false">F1197*G1197</f>
        <v>568</v>
      </c>
      <c r="I1197" s="39" t="s">
        <v>34</v>
      </c>
      <c r="J1197" s="39" t="s">
        <v>42</v>
      </c>
      <c r="K1197" s="39" t="n">
        <v>5</v>
      </c>
    </row>
    <row r="1198" customFormat="false" ht="15" hidden="false" customHeight="false" outlineLevel="0" collapsed="false">
      <c r="A1198" s="39" t="s">
        <v>1308</v>
      </c>
      <c r="B1198" s="40" t="n">
        <v>46295</v>
      </c>
      <c r="C1198" s="39" t="s">
        <v>48</v>
      </c>
      <c r="D1198" s="39" t="s">
        <v>37</v>
      </c>
      <c r="E1198" s="39" t="s">
        <v>97</v>
      </c>
      <c r="F1198" s="39" t="n">
        <v>1</v>
      </c>
      <c r="G1198" s="41" t="n">
        <v>278</v>
      </c>
      <c r="H1198" s="42" t="n">
        <f aca="false">F1198*G1198</f>
        <v>278</v>
      </c>
      <c r="I1198" s="39" t="s">
        <v>34</v>
      </c>
      <c r="J1198" s="39" t="s">
        <v>42</v>
      </c>
      <c r="K1198" s="39" t="n">
        <v>5</v>
      </c>
    </row>
    <row r="1199" customFormat="false" ht="15" hidden="false" customHeight="false" outlineLevel="0" collapsed="false">
      <c r="A1199" s="39" t="s">
        <v>1309</v>
      </c>
      <c r="B1199" s="40" t="n">
        <v>46295</v>
      </c>
      <c r="C1199" s="39" t="s">
        <v>49</v>
      </c>
      <c r="D1199" s="39" t="s">
        <v>35</v>
      </c>
      <c r="E1199" s="39" t="s">
        <v>125</v>
      </c>
      <c r="F1199" s="39" t="n">
        <v>1</v>
      </c>
      <c r="G1199" s="41" t="n">
        <v>588</v>
      </c>
      <c r="H1199" s="42" t="n">
        <f aca="false">F1199*G1199</f>
        <v>588</v>
      </c>
      <c r="I1199" s="39" t="s">
        <v>36</v>
      </c>
      <c r="J1199" s="39" t="s">
        <v>45</v>
      </c>
      <c r="K1199" s="39"/>
    </row>
    <row r="1200" customFormat="false" ht="15" hidden="false" customHeight="false" outlineLevel="0" collapsed="false">
      <c r="A1200" s="39" t="s">
        <v>1310</v>
      </c>
      <c r="B1200" s="40" t="n">
        <v>46295</v>
      </c>
      <c r="C1200" s="39" t="s">
        <v>52</v>
      </c>
      <c r="D1200" s="39" t="s">
        <v>33</v>
      </c>
      <c r="E1200" s="39" t="s">
        <v>102</v>
      </c>
      <c r="F1200" s="39" t="n">
        <v>1</v>
      </c>
      <c r="G1200" s="41" t="n">
        <v>318</v>
      </c>
      <c r="H1200" s="42" t="n">
        <f aca="false">F1200*G1200</f>
        <v>318</v>
      </c>
      <c r="I1200" s="39" t="s">
        <v>34</v>
      </c>
      <c r="J1200" s="39" t="s">
        <v>42</v>
      </c>
      <c r="K1200" s="39" t="n">
        <v>2</v>
      </c>
    </row>
    <row r="1201" customFormat="false" ht="15" hidden="false" customHeight="false" outlineLevel="0" collapsed="false">
      <c r="A1201" s="39" t="s">
        <v>1311</v>
      </c>
      <c r="B1201" s="40" t="n">
        <v>46295</v>
      </c>
      <c r="C1201" s="39" t="s">
        <v>109</v>
      </c>
      <c r="D1201" s="39" t="s">
        <v>35</v>
      </c>
      <c r="E1201" s="39" t="s">
        <v>125</v>
      </c>
      <c r="F1201" s="39" t="n">
        <v>1</v>
      </c>
      <c r="G1201" s="41" t="n">
        <v>348</v>
      </c>
      <c r="H1201" s="42" t="n">
        <f aca="false">F1201*G1201</f>
        <v>348</v>
      </c>
      <c r="I1201" s="39" t="s">
        <v>36</v>
      </c>
      <c r="J1201" s="39" t="s">
        <v>42</v>
      </c>
      <c r="K1201" s="39" t="n">
        <v>3</v>
      </c>
    </row>
  </sheetData>
  <autoFilter ref="A1:K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34" t="s">
        <v>1312</v>
      </c>
    </row>
    <row r="2" customFormat="false" ht="15" hidden="false" customHeight="false" outlineLevel="0" collapsed="false">
      <c r="A2" s="43"/>
    </row>
    <row r="3" customFormat="false" ht="15" hidden="false" customHeight="false" outlineLevel="0" collapsed="false">
      <c r="A3" s="43" t="s">
        <v>1313</v>
      </c>
    </row>
    <row r="4" customFormat="false" ht="15" hidden="false" customHeight="false" outlineLevel="0" collapsed="false">
      <c r="A4" s="43" t="s">
        <v>1314</v>
      </c>
    </row>
    <row r="5" customFormat="false" ht="15" hidden="false" customHeight="false" outlineLevel="0" collapsed="false">
      <c r="A5" s="43"/>
    </row>
    <row r="6" customFormat="false" ht="15" hidden="false" customHeight="false" outlineLevel="0" collapsed="false">
      <c r="A6" s="44" t="s">
        <v>1315</v>
      </c>
    </row>
    <row r="7" customFormat="false" ht="15" hidden="false" customHeight="false" outlineLevel="0" collapsed="false">
      <c r="A7" s="43" t="s">
        <v>1316</v>
      </c>
    </row>
    <row r="8" customFormat="false" ht="15" hidden="false" customHeight="false" outlineLevel="0" collapsed="false">
      <c r="A8" s="43" t="s">
        <v>1317</v>
      </c>
    </row>
    <row r="9" customFormat="false" ht="15" hidden="false" customHeight="false" outlineLevel="0" collapsed="false">
      <c r="A9" s="43" t="s">
        <v>1318</v>
      </c>
    </row>
    <row r="10" customFormat="false" ht="15" hidden="false" customHeight="false" outlineLevel="0" collapsed="false">
      <c r="A10" s="43" t="s">
        <v>1319</v>
      </c>
    </row>
    <row r="11" customFormat="false" ht="15" hidden="false" customHeight="false" outlineLevel="0" collapsed="false">
      <c r="A11" s="43" t="s">
        <v>1320</v>
      </c>
    </row>
    <row r="12" customFormat="false" ht="15" hidden="false" customHeight="false" outlineLevel="0" collapsed="false">
      <c r="A12" s="43"/>
    </row>
    <row r="13" customFormat="false" ht="15" hidden="false" customHeight="false" outlineLevel="0" collapsed="false">
      <c r="A13" s="43" t="s">
        <v>1321</v>
      </c>
    </row>
    <row r="14" customFormat="false" ht="15" hidden="false" customHeight="false" outlineLevel="0" collapsed="false">
      <c r="A14" s="43" t="s">
        <v>1322</v>
      </c>
    </row>
    <row r="15" customFormat="false" ht="15" hidden="false" customHeight="false" outlineLevel="0" collapsed="false">
      <c r="A15" s="43" t="s">
        <v>1323</v>
      </c>
    </row>
    <row r="16" customFormat="false" ht="15" hidden="false" customHeight="false" outlineLevel="0" collapsed="false">
      <c r="A16" s="43" t="s">
        <v>1324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2026-10-03T11:13:36Z</dcterms:created>
  <dc:creator>openpyxl</dc:creator>
  <dc:description/>
  <dc:language>en-US</dc:language>
  <cp:lastModifiedBy/>
  <dcterms:modified xsi:type="dcterms:W3CDTF">2026-10-03T11:13:40Z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